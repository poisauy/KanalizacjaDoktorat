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J:\Doktorat\Macierze\M_Główna\"/>
    </mc:Choice>
  </mc:AlternateContent>
  <xr:revisionPtr revIDLastSave="0" documentId="13_ncr:1_{E602736B-BE36-4CA6-A7B4-06CB0F6ADF7A}" xr6:coauthVersionLast="45" xr6:coauthVersionMax="45" xr10:uidLastSave="{00000000-0000-0000-0000-000000000000}"/>
  <bookViews>
    <workbookView xWindow="-28920" yWindow="-120" windowWidth="29040" windowHeight="18240" activeTab="3" xr2:uid="{00000000-000D-0000-FFFF-FFFF00000000}"/>
  </bookViews>
  <sheets>
    <sheet name="Ankieta_SK" sheetId="3" r:id="rId1"/>
    <sheet name="Wartosci_kryteriow" sheetId="13" r:id="rId2"/>
    <sheet name="Macierz_G_SK" sheetId="4" r:id="rId3"/>
    <sheet name="RI_Rozne" sheetId="14" r:id="rId4"/>
    <sheet name="Wykresy" sheetId="15" r:id="rId5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9" i="4" l="1"/>
  <c r="K10" i="4"/>
  <c r="K11" i="4"/>
  <c r="K12" i="4"/>
  <c r="K13" i="4"/>
  <c r="K14" i="4"/>
  <c r="K8" i="4"/>
  <c r="J9" i="4"/>
  <c r="J10" i="4"/>
  <c r="J11" i="4"/>
  <c r="J12" i="4"/>
  <c r="J13" i="4"/>
  <c r="J14" i="4"/>
  <c r="J8" i="4"/>
  <c r="I9" i="4"/>
  <c r="I10" i="4"/>
  <c r="I11" i="4"/>
  <c r="I12" i="4"/>
  <c r="I13" i="4"/>
  <c r="I14" i="4"/>
  <c r="I8" i="4"/>
  <c r="H9" i="4"/>
  <c r="H10" i="4"/>
  <c r="H11" i="4"/>
  <c r="H12" i="4"/>
  <c r="H13" i="4"/>
  <c r="H14" i="4"/>
  <c r="H8" i="4"/>
  <c r="G9" i="4"/>
  <c r="G10" i="4"/>
  <c r="G11" i="4"/>
  <c r="G12" i="4"/>
  <c r="G13" i="4"/>
  <c r="G14" i="4"/>
  <c r="G8" i="4"/>
  <c r="F9" i="4"/>
  <c r="F10" i="4"/>
  <c r="F11" i="4"/>
  <c r="F12" i="4"/>
  <c r="F13" i="4"/>
  <c r="F14" i="4"/>
  <c r="F8" i="4"/>
  <c r="E9" i="4"/>
  <c r="E10" i="4"/>
  <c r="E11" i="4"/>
  <c r="E12" i="4"/>
  <c r="E13" i="4"/>
  <c r="E14" i="4"/>
  <c r="E8" i="4"/>
  <c r="J20" i="4" l="1"/>
  <c r="I20" i="4"/>
  <c r="H19" i="4"/>
  <c r="Q28" i="4" l="1"/>
  <c r="N35" i="4" l="1"/>
  <c r="L21" i="13" l="1"/>
  <c r="K21" i="13"/>
  <c r="J21" i="13"/>
  <c r="I21" i="13"/>
  <c r="H21" i="13"/>
  <c r="G21" i="13"/>
  <c r="F21" i="13"/>
  <c r="K10" i="13"/>
  <c r="K17" i="13"/>
  <c r="J17" i="13"/>
  <c r="I17" i="13"/>
  <c r="H17" i="13"/>
  <c r="G17" i="13"/>
  <c r="F17" i="13"/>
  <c r="J16" i="13"/>
  <c r="I16" i="13"/>
  <c r="H16" i="13"/>
  <c r="G16" i="13"/>
  <c r="F16" i="13"/>
  <c r="I15" i="13"/>
  <c r="H15" i="13"/>
  <c r="G15" i="13"/>
  <c r="F15" i="13"/>
  <c r="H14" i="13"/>
  <c r="G14" i="13"/>
  <c r="F14" i="13"/>
  <c r="G13" i="13"/>
  <c r="F13" i="13"/>
  <c r="F12" i="13"/>
  <c r="K28" i="13" l="1"/>
  <c r="J28" i="13"/>
  <c r="I28" i="13"/>
  <c r="H28" i="13"/>
  <c r="G28" i="13"/>
  <c r="F28" i="13"/>
  <c r="J27" i="13"/>
  <c r="I27" i="13"/>
  <c r="H27" i="13"/>
  <c r="G27" i="13"/>
  <c r="F27" i="13"/>
  <c r="I26" i="13"/>
  <c r="H26" i="13"/>
  <c r="G26" i="13"/>
  <c r="F26" i="13"/>
  <c r="H25" i="13"/>
  <c r="G25" i="13"/>
  <c r="F25" i="13"/>
  <c r="G24" i="13"/>
  <c r="F24" i="13"/>
  <c r="F23" i="13"/>
  <c r="L10" i="13"/>
  <c r="J10" i="13"/>
  <c r="I10" i="13"/>
  <c r="H10" i="13"/>
  <c r="G10" i="13"/>
  <c r="F10" i="13"/>
  <c r="D18" i="4" l="1"/>
  <c r="D29" i="4"/>
  <c r="D19" i="4"/>
  <c r="D30" i="4"/>
  <c r="D32" i="4"/>
  <c r="D21" i="4"/>
  <c r="D28" i="4"/>
  <c r="D17" i="4"/>
  <c r="E7" i="4"/>
  <c r="D33" i="4"/>
  <c r="D22" i="4"/>
  <c r="D31" i="4"/>
  <c r="D20" i="4"/>
  <c r="D34" i="4"/>
  <c r="D23" i="4"/>
  <c r="E18" i="4" l="1"/>
  <c r="K17" i="4"/>
  <c r="S28" i="4"/>
  <c r="K7" i="4"/>
  <c r="J7" i="4"/>
  <c r="I7" i="4"/>
  <c r="H7" i="4"/>
  <c r="G7" i="4"/>
  <c r="F7" i="4"/>
  <c r="K23" i="4"/>
  <c r="E17" i="4"/>
  <c r="F17" i="4"/>
  <c r="G17" i="4"/>
  <c r="H17" i="4"/>
  <c r="I17" i="4"/>
  <c r="J17" i="4"/>
  <c r="L17" i="4" l="1"/>
  <c r="F18" i="4"/>
  <c r="G18" i="4"/>
  <c r="H18" i="4"/>
  <c r="I18" i="4"/>
  <c r="J18" i="4"/>
  <c r="K18" i="4"/>
  <c r="L18" i="4" l="1"/>
  <c r="E19" i="4"/>
  <c r="F19" i="4"/>
  <c r="G19" i="4"/>
  <c r="I19" i="4"/>
  <c r="J19" i="4"/>
  <c r="K19" i="4"/>
  <c r="L19" i="4" l="1"/>
  <c r="E20" i="4"/>
  <c r="F20" i="4"/>
  <c r="G20" i="4"/>
  <c r="H20" i="4"/>
  <c r="K20" i="4"/>
  <c r="L20" i="4" l="1"/>
  <c r="E21" i="4"/>
  <c r="F21" i="4"/>
  <c r="G21" i="4"/>
  <c r="H21" i="4"/>
  <c r="I21" i="4"/>
  <c r="J21" i="4"/>
  <c r="K21" i="4"/>
  <c r="L21" i="4" l="1"/>
  <c r="E22" i="4"/>
  <c r="F22" i="4"/>
  <c r="G22" i="4"/>
  <c r="H22" i="4"/>
  <c r="I22" i="4"/>
  <c r="J22" i="4"/>
  <c r="K22" i="4"/>
  <c r="K24" i="4" s="1"/>
  <c r="K32" i="4" s="1"/>
  <c r="K31" i="4" l="1"/>
  <c r="K30" i="4"/>
  <c r="K34" i="4"/>
  <c r="K33" i="4"/>
  <c r="K29" i="4"/>
  <c r="K28" i="4"/>
  <c r="L22" i="4"/>
  <c r="K35" i="4" l="1"/>
  <c r="E23" i="4"/>
  <c r="E24" i="4" l="1"/>
  <c r="E30" i="4" l="1"/>
  <c r="E32" i="4"/>
  <c r="E28" i="4"/>
  <c r="E31" i="4"/>
  <c r="E33" i="4"/>
  <c r="E29" i="4"/>
  <c r="E34" i="4"/>
  <c r="E35" i="4" l="1"/>
  <c r="F23" i="4"/>
  <c r="G23" i="4"/>
  <c r="H23" i="4"/>
  <c r="I23" i="4"/>
  <c r="I24" i="4" s="1"/>
  <c r="I29" i="4" s="1"/>
  <c r="J23" i="4"/>
  <c r="J24" i="4" s="1"/>
  <c r="J32" i="4" s="1"/>
  <c r="L23" i="4" l="1"/>
  <c r="L24" i="4" s="1"/>
  <c r="H24" i="4"/>
  <c r="I28" i="4"/>
  <c r="G24" i="4"/>
  <c r="I32" i="4"/>
  <c r="F24" i="4"/>
  <c r="F34" i="4" s="1"/>
  <c r="I33" i="4"/>
  <c r="J31" i="4"/>
  <c r="I31" i="4"/>
  <c r="J30" i="4"/>
  <c r="J34" i="4"/>
  <c r="J33" i="4"/>
  <c r="J28" i="4"/>
  <c r="I30" i="4"/>
  <c r="J29" i="4"/>
  <c r="I34" i="4"/>
  <c r="I35" i="4" l="1"/>
  <c r="G31" i="4"/>
  <c r="G32" i="4"/>
  <c r="G28" i="4"/>
  <c r="G33" i="4"/>
  <c r="G29" i="4"/>
  <c r="G30" i="4"/>
  <c r="J35" i="4"/>
  <c r="G34" i="4"/>
  <c r="H30" i="4"/>
  <c r="H31" i="4"/>
  <c r="H32" i="4"/>
  <c r="H33" i="4"/>
  <c r="H28" i="4"/>
  <c r="H29" i="4"/>
  <c r="H34" i="4"/>
  <c r="F32" i="4"/>
  <c r="F30" i="4"/>
  <c r="F28" i="4"/>
  <c r="F33" i="4"/>
  <c r="F31" i="4"/>
  <c r="F29" i="4"/>
  <c r="L31" i="4" l="1"/>
  <c r="L29" i="4"/>
  <c r="L34" i="4"/>
  <c r="F35" i="4"/>
  <c r="L28" i="4"/>
  <c r="H35" i="4"/>
  <c r="L33" i="4"/>
  <c r="L30" i="4"/>
  <c r="G35" i="4"/>
  <c r="L32" i="4"/>
  <c r="L35" i="4" l="1"/>
  <c r="M28" i="4" s="1"/>
  <c r="P28" i="4" l="1"/>
  <c r="O28" i="4"/>
  <c r="M31" i="4"/>
  <c r="O31" i="4" s="1"/>
  <c r="M34" i="4"/>
  <c r="O34" i="4" s="1"/>
  <c r="M29" i="4"/>
  <c r="O29" i="4" s="1"/>
  <c r="M33" i="4"/>
  <c r="O33" i="4" s="1"/>
  <c r="M32" i="4"/>
  <c r="O32" i="4" s="1"/>
  <c r="M30" i="4"/>
  <c r="O30" i="4" l="1"/>
  <c r="O35" i="4" s="1"/>
  <c r="P30" i="4"/>
  <c r="P29" i="4"/>
  <c r="P31" i="4"/>
  <c r="M35" i="4"/>
  <c r="P32" i="4"/>
  <c r="P34" i="4"/>
  <c r="P33" i="4"/>
  <c r="P35" i="4" l="1"/>
  <c r="R28" i="4" l="1"/>
  <c r="T28" i="4" s="1"/>
  <c r="U28" i="4" s="1"/>
</calcChain>
</file>

<file path=xl/sharedStrings.xml><?xml version="1.0" encoding="utf-8"?>
<sst xmlns="http://schemas.openxmlformats.org/spreadsheetml/2006/main" count="388" uniqueCount="79">
  <si>
    <t>Lp.</t>
  </si>
  <si>
    <t xml:space="preserve">Kryterium </t>
  </si>
  <si>
    <t>Która z rodzaju kanalizacji, jest ważniejsza w stosunku do drugiej według skali Sateego</t>
  </si>
  <si>
    <t>Całkowita</t>
  </si>
  <si>
    <t>bardzo duża</t>
  </si>
  <si>
    <t>duża</t>
  </si>
  <si>
    <t xml:space="preserve">mała ( niewielka) </t>
  </si>
  <si>
    <t xml:space="preserve">jednakowe znaczenie 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</si>
  <si>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</si>
  <si>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</si>
  <si>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</si>
  <si>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</si>
  <si>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</si>
  <si>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</si>
  <si>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</si>
  <si>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</si>
  <si>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</si>
  <si>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</si>
  <si>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</si>
  <si>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</si>
  <si>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</si>
  <si>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</si>
  <si>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</si>
  <si>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</si>
  <si>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</si>
  <si>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</si>
  <si>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</si>
  <si>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</si>
  <si>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</si>
  <si>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</si>
  <si>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</si>
  <si>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</si>
  <si>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</si>
  <si>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Wartość kryterium</t>
  </si>
  <si>
    <t>Grawitacyjna</t>
  </si>
  <si>
    <t>x</t>
  </si>
  <si>
    <t>Oczyszczalnia Przydomowa</t>
  </si>
  <si>
    <t>Mieszana</t>
  </si>
  <si>
    <t>Wysokociśnieniowa</t>
  </si>
  <si>
    <t>Niskociśnieniowa</t>
  </si>
  <si>
    <t>Podciśnieniowa</t>
  </si>
  <si>
    <t>Małośrednicowa</t>
  </si>
  <si>
    <t>Rodzaj kanalizacji</t>
  </si>
  <si>
    <t>suma_k</t>
  </si>
  <si>
    <t>suma_w</t>
  </si>
  <si>
    <t>l</t>
  </si>
  <si>
    <t>CI</t>
  </si>
  <si>
    <t>RI</t>
  </si>
  <si>
    <t>CR</t>
  </si>
  <si>
    <t>n</t>
  </si>
  <si>
    <t>CR [%]</t>
  </si>
  <si>
    <t>Macierz główna skala AHP MG_WSK</t>
  </si>
  <si>
    <t xml:space="preserve">Zamiana ułamków na wartości dziesiętne </t>
  </si>
  <si>
    <t xml:space="preserve">Obliczanie średnich arytmetycznych ważonych </t>
  </si>
  <si>
    <t xml:space="preserve">Przykładowe warianty kryteriów </t>
  </si>
  <si>
    <t xml:space="preserve"> 1. Sieć Grawitacyjna</t>
  </si>
  <si>
    <t xml:space="preserve"> 3. Sieć Podciśnieniowa </t>
  </si>
  <si>
    <t xml:space="preserve"> 4. Sieć Niskociśnieniowa</t>
  </si>
  <si>
    <t xml:space="preserve"> 5. Sieć Wysokociśnieniowa</t>
  </si>
  <si>
    <t xml:space="preserve"> 6. Sieć Mieszana</t>
  </si>
  <si>
    <t xml:space="preserve"> 7. Oczyszczalnia Przydomowa </t>
  </si>
  <si>
    <t xml:space="preserve">Wybór wartości kryteriów </t>
  </si>
  <si>
    <t xml:space="preserve"> 2. Sieć Małośrednicowa</t>
  </si>
  <si>
    <t>Według Eymontt</t>
  </si>
  <si>
    <t>Według Ślusarczyka</t>
  </si>
  <si>
    <t xml:space="preserve">Nazwisko autora </t>
  </si>
  <si>
    <t>Rok</t>
  </si>
  <si>
    <t>Wielkość macierzy</t>
  </si>
  <si>
    <t>Symbol współczynnika</t>
  </si>
  <si>
    <t xml:space="preserve">Współczynnik RI wygenerowany przez </t>
  </si>
  <si>
    <t>Formana</t>
  </si>
  <si>
    <t>Lokalne</t>
  </si>
  <si>
    <t>Globalne</t>
  </si>
  <si>
    <t>wagi_swa</t>
  </si>
  <si>
    <t>Priorytety</t>
  </si>
  <si>
    <t>Lmax</t>
  </si>
  <si>
    <t>Współczynnik RI wygenerowany przez</t>
  </si>
  <si>
    <t xml:space="preserve"> Saatyego</t>
  </si>
  <si>
    <t xml:space="preserve">Wartości współczynnika spóojności  RI dla macierzy n - rzędu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</si>
</sst>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35" x14ac:knownFonts="1">
    <font>
      <sz val="10"/>
      <name val="Arial"/>
      <family val="2"/>
    </font>
    <font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11"/>
      <color indexed="8"/>
      <name val="Calibri"/>
      <family val="2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  <charset val="238"/>
    </font>
    <font>
      <b/>
      <sz val="11"/>
      <color theme="1"/>
      <name val="Symbol"/>
      <family val="1"/>
      <charset val="238"/>
    </font>
    <font>
      <b/>
      <sz val="10"/>
      <name val="Calibri"/>
      <family val="2"/>
      <charset val="238"/>
      <scheme val="minor"/>
    </font>
    <font>
      <b/>
      <sz val="10"/>
      <color theme="8" tint="-0.249977111117893"/>
      <name val="Calibri"/>
      <family val="2"/>
      <charset val="238"/>
      <scheme val="minor"/>
    </font>
    <font>
      <b/>
      <sz val="11"/>
      <color theme="8" tint="-0.249977111117893"/>
      <name val="Calibri"/>
      <family val="2"/>
      <charset val="238"/>
      <scheme val="minor"/>
    </font>
    <font>
      <b/>
      <sz val="10"/>
      <color theme="8" tint="-0.249977111117893"/>
      <name val="Arial"/>
      <family val="2"/>
      <charset val="238"/>
    </font>
    <font>
      <b/>
      <sz val="14"/>
      <name val="Arial"/>
      <family val="2"/>
      <charset val="238"/>
    </font>
    <font>
      <b/>
      <sz val="12"/>
      <name val="Calibri"/>
      <family val="2"/>
      <charset val="238"/>
      <scheme val="minor"/>
    </font>
    <font>
      <b/>
      <sz val="12"/>
      <name val="Arial"/>
      <family val="2"/>
      <charset val="238"/>
    </font>
    <font>
      <sz val="10"/>
      <color rgb="FF000000"/>
      <name val="Arial"/>
      <family val="2"/>
      <charset val="238"/>
    </font>
    <font>
      <sz val="11"/>
      <color theme="0"/>
      <name val="Calibri"/>
      <family val="2"/>
      <charset val="238"/>
      <scheme val="minor"/>
    </font>
    <font>
      <b/>
      <sz val="11"/>
      <color indexed="8"/>
      <name val="Calibri"/>
      <family val="2"/>
      <charset val="238"/>
      <scheme val="minor"/>
    </font>
    <font>
      <b/>
      <sz val="11"/>
      <color theme="0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1"/>
      <color indexed="8"/>
      <name val="Calibri"/>
      <family val="2"/>
      <charset val="238"/>
      <scheme val="minor"/>
    </font>
    <font>
      <sz val="11"/>
      <name val="Times New Roman"/>
      <family val="1"/>
      <charset val="238"/>
    </font>
    <font>
      <sz val="11"/>
      <color theme="0"/>
      <name val="Times New Roman"/>
      <family val="1"/>
      <charset val="238"/>
    </font>
    <font>
      <b/>
      <sz val="11"/>
      <name val="Arial"/>
      <family val="2"/>
      <charset val="238"/>
    </font>
    <font>
      <b/>
      <sz val="14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0"/>
      <color theme="0"/>
      <name val="Arial"/>
      <family val="2"/>
      <charset val="238"/>
    </font>
    <font>
      <sz val="11"/>
      <color rgb="FF9C0006"/>
      <name val="Calibri"/>
      <family val="2"/>
      <charset val="238"/>
      <scheme val="minor"/>
    </font>
    <font>
      <b/>
      <sz val="10"/>
      <color theme="4"/>
      <name val="Calibri"/>
      <family val="2"/>
      <charset val="238"/>
      <scheme val="minor"/>
    </font>
    <font>
      <b/>
      <sz val="10"/>
      <color theme="4"/>
      <name val="Arial"/>
      <family val="2"/>
      <charset val="238"/>
    </font>
    <font>
      <b/>
      <sz val="11"/>
      <color theme="4"/>
      <name val="Calibri"/>
      <family val="2"/>
      <charset val="238"/>
      <scheme val="minor"/>
    </font>
    <font>
      <b/>
      <sz val="11"/>
      <color theme="1"/>
      <name val="Calibri Light"/>
      <family val="2"/>
      <charset val="238"/>
      <scheme val="major"/>
    </font>
    <font>
      <b/>
      <sz val="11"/>
      <color theme="0"/>
      <name val="Arial"/>
      <family val="2"/>
      <charset val="238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7"/>
        <bgColor indexed="3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rgb="FFFF0000"/>
        <bgColor indexed="44"/>
      </patternFill>
    </fill>
    <fill>
      <patternFill patternType="solid">
        <fgColor rgb="FFFF8000"/>
        <bgColor indexed="44"/>
      </patternFill>
    </fill>
    <fill>
      <patternFill patternType="solid">
        <fgColor rgb="FFFFFF00"/>
        <bgColor indexed="44"/>
      </patternFill>
    </fill>
    <fill>
      <patternFill patternType="solid">
        <fgColor rgb="FF00FF00"/>
        <bgColor indexed="44"/>
      </patternFill>
    </fill>
    <fill>
      <patternFill patternType="solid">
        <fgColor rgb="FF00FFFF"/>
        <bgColor indexed="44"/>
      </patternFill>
    </fill>
    <fill>
      <patternFill patternType="solid">
        <fgColor rgb="FF00007F"/>
        <bgColor indexed="44"/>
      </patternFill>
    </fill>
    <fill>
      <patternFill patternType="solid">
        <fgColor rgb="FF50007F"/>
        <bgColor indexed="4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/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6" fillId="0" borderId="0"/>
    <xf numFmtId="0" fontId="1" fillId="0" borderId="0"/>
    <xf numFmtId="9" fontId="1" fillId="0" borderId="0" applyFont="0" applyFill="0" applyBorder="0" applyAlignment="0" applyProtection="0"/>
    <xf numFmtId="0" fontId="27" fillId="21" borderId="50" applyNumberFormat="0" applyAlignment="0" applyProtection="0"/>
    <xf numFmtId="0" fontId="29" fillId="26" borderId="0" applyNumberFormat="0" applyBorder="0" applyAlignment="0" applyProtection="0"/>
  </cellStyleXfs>
  <cellXfs count="23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21" xfId="0" applyBorder="1" applyAlignment="1"/>
    <xf numFmtId="0" fontId="5" fillId="0" borderId="8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7" fillId="0" borderId="24" xfId="1" applyFont="1" applyBorder="1" applyAlignment="1">
      <alignment horizontal="left" vertical="center" wrapText="1"/>
    </xf>
    <xf numFmtId="0" fontId="0" fillId="5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0" borderId="25" xfId="1" applyFont="1" applyBorder="1" applyAlignment="1">
      <alignment horizontal="left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7" fillId="0" borderId="28" xfId="1" applyFont="1" applyBorder="1" applyAlignment="1">
      <alignment horizontal="left" vertical="center" wrapText="1"/>
    </xf>
    <xf numFmtId="0" fontId="0" fillId="0" borderId="29" xfId="0" applyBorder="1" applyAlignment="1">
      <alignment horizontal="center" vertical="center"/>
    </xf>
    <xf numFmtId="0" fontId="0" fillId="5" borderId="1" xfId="0" applyFill="1" applyBorder="1" applyAlignment="1"/>
    <xf numFmtId="0" fontId="0" fillId="3" borderId="1" xfId="0" applyFill="1" applyBorder="1" applyAlignment="1"/>
    <xf numFmtId="0" fontId="7" fillId="0" borderId="30" xfId="1" applyFont="1" applyBorder="1" applyAlignment="1">
      <alignment horizontal="left" vertical="center" wrapText="1"/>
    </xf>
    <xf numFmtId="0" fontId="0" fillId="5" borderId="1" xfId="0" quotePrefix="1" applyFill="1" applyBorder="1" applyAlignment="1"/>
    <xf numFmtId="0" fontId="0" fillId="0" borderId="31" xfId="0" applyBorder="1" applyAlignment="1">
      <alignment horizontal="center" vertical="center"/>
    </xf>
    <xf numFmtId="0" fontId="7" fillId="0" borderId="32" xfId="1" applyFont="1" applyBorder="1" applyAlignment="1">
      <alignment horizontal="left" vertical="center" wrapText="1"/>
    </xf>
    <xf numFmtId="0" fontId="0" fillId="5" borderId="18" xfId="0" applyFill="1" applyBorder="1" applyAlignment="1"/>
    <xf numFmtId="0" fontId="0" fillId="3" borderId="18" xfId="0" applyFill="1" applyBorder="1" applyAlignment="1"/>
    <xf numFmtId="0" fontId="0" fillId="5" borderId="18" xfId="0" quotePrefix="1" applyFill="1" applyBorder="1" applyAlignment="1"/>
    <xf numFmtId="0" fontId="7" fillId="0" borderId="33" xfId="1" applyFont="1" applyBorder="1" applyAlignment="1">
      <alignment horizontal="left" vertical="center" wrapText="1"/>
    </xf>
    <xf numFmtId="0" fontId="0" fillId="0" borderId="34" xfId="0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/>
    </xf>
    <xf numFmtId="0" fontId="3" fillId="2" borderId="36" xfId="0" applyFont="1" applyFill="1" applyBorder="1" applyAlignment="1">
      <alignment horizontal="center" vertical="center"/>
    </xf>
    <xf numFmtId="0" fontId="3" fillId="2" borderId="40" xfId="0" applyFont="1" applyFill="1" applyBorder="1">
      <alignment vertical="center"/>
    </xf>
    <xf numFmtId="0" fontId="7" fillId="0" borderId="41" xfId="1" applyFont="1" applyBorder="1" applyAlignment="1">
      <alignment horizontal="left" vertical="center" wrapText="1"/>
    </xf>
    <xf numFmtId="0" fontId="3" fillId="2" borderId="40" xfId="0" applyFont="1" applyFill="1" applyBorder="1" applyAlignment="1">
      <alignment horizontal="center" vertical="center"/>
    </xf>
    <xf numFmtId="0" fontId="3" fillId="2" borderId="42" xfId="0" applyFont="1" applyFill="1" applyBorder="1">
      <alignment vertical="center"/>
    </xf>
    <xf numFmtId="0" fontId="0" fillId="0" borderId="43" xfId="0" applyBorder="1" applyAlignment="1">
      <alignment horizontal="center" vertical="center"/>
    </xf>
    <xf numFmtId="0" fontId="7" fillId="0" borderId="44" xfId="1" applyFont="1" applyBorder="1" applyAlignment="1">
      <alignment horizontal="left" vertical="center" wrapText="1"/>
    </xf>
    <xf numFmtId="0" fontId="0" fillId="0" borderId="45" xfId="0" applyBorder="1" applyAlignment="1">
      <alignment horizontal="center" vertical="center"/>
    </xf>
    <xf numFmtId="0" fontId="7" fillId="0" borderId="46" xfId="1" applyFont="1" applyBorder="1" applyAlignment="1">
      <alignment horizontal="left" vertical="center" wrapText="1"/>
    </xf>
    <xf numFmtId="0" fontId="7" fillId="0" borderId="47" xfId="1" applyFont="1" applyBorder="1" applyAlignment="1">
      <alignment horizontal="left" vertical="center" wrapText="1"/>
    </xf>
    <xf numFmtId="0" fontId="7" fillId="0" borderId="48" xfId="1" applyFont="1" applyBorder="1" applyAlignment="1">
      <alignment horizontal="left" vertical="center" wrapText="1"/>
    </xf>
    <xf numFmtId="0" fontId="0" fillId="0" borderId="49" xfId="0" applyBorder="1" applyAlignment="1">
      <alignment horizontal="center" vertical="center"/>
    </xf>
    <xf numFmtId="12" fontId="6" fillId="6" borderId="1" xfId="1" applyNumberFormat="1" applyFont="1" applyFill="1" applyBorder="1" applyAlignment="1">
      <alignment horizontal="center" vertical="center" wrapText="1"/>
    </xf>
    <xf numFmtId="12" fontId="6" fillId="0" borderId="1" xfId="1" applyNumberFormat="1" applyBorder="1" applyAlignment="1">
      <alignment horizontal="center" vertical="center" wrapText="1"/>
    </xf>
    <xf numFmtId="12" fontId="6" fillId="0" borderId="1" xfId="1" applyNumberFormat="1" applyFont="1" applyFill="1" applyBorder="1" applyAlignment="1">
      <alignment horizontal="center" vertical="center" wrapText="1"/>
    </xf>
    <xf numFmtId="12" fontId="6" fillId="0" borderId="1" xfId="1" applyNumberFormat="1" applyFill="1" applyBorder="1" applyAlignment="1">
      <alignment horizontal="center" vertical="center" wrapText="1"/>
    </xf>
    <xf numFmtId="12" fontId="1" fillId="0" borderId="1" xfId="2" applyNumberFormat="1" applyBorder="1" applyAlignment="1">
      <alignment horizontal="center" vertical="center" wrapText="1"/>
    </xf>
    <xf numFmtId="12" fontId="7" fillId="0" borderId="1" xfId="1" applyNumberFormat="1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12" fontId="6" fillId="0" borderId="0" xfId="1" applyNumberFormat="1" applyFont="1" applyFill="1" applyBorder="1" applyAlignment="1">
      <alignment horizontal="center" vertical="center" wrapText="1"/>
    </xf>
    <xf numFmtId="0" fontId="21" fillId="9" borderId="28" xfId="1" applyFont="1" applyFill="1" applyBorder="1" applyAlignment="1">
      <alignment horizontal="left" vertical="center" wrapText="1"/>
    </xf>
    <xf numFmtId="0" fontId="21" fillId="10" borderId="28" xfId="1" applyFont="1" applyFill="1" applyBorder="1" applyAlignment="1">
      <alignment horizontal="left" vertical="center" wrapText="1"/>
    </xf>
    <xf numFmtId="0" fontId="21" fillId="11" borderId="28" xfId="1" applyFont="1" applyFill="1" applyBorder="1" applyAlignment="1">
      <alignment horizontal="left" vertical="center" wrapText="1"/>
    </xf>
    <xf numFmtId="0" fontId="21" fillId="12" borderId="28" xfId="1" applyFont="1" applyFill="1" applyBorder="1" applyAlignment="1">
      <alignment horizontal="left" vertical="center" wrapText="1"/>
    </xf>
    <xf numFmtId="0" fontId="21" fillId="13" borderId="28" xfId="1" applyFont="1" applyFill="1" applyBorder="1" applyAlignment="1">
      <alignment horizontal="left" vertical="center" wrapText="1"/>
    </xf>
    <xf numFmtId="0" fontId="18" fillId="14" borderId="28" xfId="1" applyFont="1" applyFill="1" applyBorder="1" applyAlignment="1">
      <alignment horizontal="left" vertical="center" wrapText="1"/>
    </xf>
    <xf numFmtId="0" fontId="18" fillId="15" borderId="28" xfId="1" applyFont="1" applyFill="1" applyBorder="1" applyAlignment="1">
      <alignment horizontal="left" vertical="center" wrapText="1"/>
    </xf>
    <xf numFmtId="0" fontId="2" fillId="18" borderId="1" xfId="0" applyFont="1" applyFill="1" applyBorder="1" applyAlignment="1">
      <alignment horizontal="center" vertical="center"/>
    </xf>
    <xf numFmtId="0" fontId="8" fillId="9" borderId="2" xfId="1" applyFont="1" applyFill="1" applyBorder="1" applyAlignment="1">
      <alignment horizontal="center" textRotation="90" wrapText="1"/>
    </xf>
    <xf numFmtId="0" fontId="8" fillId="10" borderId="2" xfId="1" applyFont="1" applyFill="1" applyBorder="1" applyAlignment="1">
      <alignment horizontal="center" textRotation="90" wrapText="1"/>
    </xf>
    <xf numFmtId="0" fontId="8" fillId="11" borderId="2" xfId="1" applyFont="1" applyFill="1" applyBorder="1" applyAlignment="1">
      <alignment horizontal="center" textRotation="90" wrapText="1"/>
    </xf>
    <xf numFmtId="0" fontId="8" fillId="12" borderId="2" xfId="1" applyFont="1" applyFill="1" applyBorder="1" applyAlignment="1">
      <alignment horizontal="center" textRotation="90" wrapText="1"/>
    </xf>
    <xf numFmtId="0" fontId="8" fillId="13" borderId="2" xfId="1" applyFont="1" applyFill="1" applyBorder="1" applyAlignment="1">
      <alignment horizontal="center" textRotation="90" wrapText="1"/>
    </xf>
    <xf numFmtId="0" fontId="20" fillId="14" borderId="2" xfId="1" applyFont="1" applyFill="1" applyBorder="1" applyAlignment="1">
      <alignment horizontal="center" textRotation="90" wrapText="1"/>
    </xf>
    <xf numFmtId="0" fontId="20" fillId="15" borderId="2" xfId="1" applyFont="1" applyFill="1" applyBorder="1" applyAlignment="1">
      <alignment horizontal="center" textRotation="90" wrapText="1"/>
    </xf>
    <xf numFmtId="0" fontId="26" fillId="20" borderId="0" xfId="0" applyFont="1" applyFill="1" applyAlignment="1">
      <alignment vertical="center"/>
    </xf>
    <xf numFmtId="0" fontId="15" fillId="20" borderId="0" xfId="0" applyFont="1" applyFill="1" applyAlignment="1">
      <alignment vertical="center"/>
    </xf>
    <xf numFmtId="0" fontId="2" fillId="18" borderId="5" xfId="0" applyFont="1" applyFill="1" applyBorder="1" applyAlignment="1">
      <alignment horizontal="center" vertical="center"/>
    </xf>
    <xf numFmtId="0" fontId="28" fillId="22" borderId="1" xfId="0" applyFont="1" applyFill="1" applyBorder="1" applyAlignment="1">
      <alignment horizontal="center" vertical="center"/>
    </xf>
    <xf numFmtId="0" fontId="28" fillId="2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0" fontId="8" fillId="25" borderId="2" xfId="1" applyFont="1" applyFill="1" applyBorder="1" applyAlignment="1">
      <alignment horizontal="center" vertical="center" wrapText="1"/>
    </xf>
    <xf numFmtId="0" fontId="0" fillId="0" borderId="0" xfId="0" applyProtection="1">
      <alignment vertical="center"/>
    </xf>
    <xf numFmtId="0" fontId="8" fillId="25" borderId="2" xfId="1" applyFont="1" applyFill="1" applyBorder="1" applyAlignment="1" applyProtection="1">
      <alignment horizontal="center" vertical="center" wrapText="1"/>
    </xf>
    <xf numFmtId="0" fontId="23" fillId="9" borderId="2" xfId="1" applyFont="1" applyFill="1" applyBorder="1" applyAlignment="1" applyProtection="1">
      <alignment horizontal="center" vertical="center" textRotation="90" wrapText="1"/>
    </xf>
    <xf numFmtId="0" fontId="23" fillId="10" borderId="2" xfId="1" applyFont="1" applyFill="1" applyBorder="1" applyAlignment="1" applyProtection="1">
      <alignment horizontal="center" vertical="center" textRotation="90" wrapText="1"/>
    </xf>
    <xf numFmtId="0" fontId="23" fillId="11" borderId="2" xfId="1" applyFont="1" applyFill="1" applyBorder="1" applyAlignment="1" applyProtection="1">
      <alignment horizontal="center" vertical="center" textRotation="90" wrapText="1"/>
    </xf>
    <xf numFmtId="0" fontId="23" fillId="12" borderId="2" xfId="1" applyFont="1" applyFill="1" applyBorder="1" applyAlignment="1" applyProtection="1">
      <alignment horizontal="center" vertical="center" textRotation="90" wrapText="1"/>
    </xf>
    <xf numFmtId="0" fontId="23" fillId="13" borderId="2" xfId="1" applyFont="1" applyFill="1" applyBorder="1" applyAlignment="1" applyProtection="1">
      <alignment horizontal="center" vertical="center" textRotation="90" wrapText="1"/>
    </xf>
    <xf numFmtId="0" fontId="24" fillId="14" borderId="2" xfId="1" applyFont="1" applyFill="1" applyBorder="1" applyAlignment="1" applyProtection="1">
      <alignment horizontal="center" vertical="center" textRotation="90" wrapText="1"/>
    </xf>
    <xf numFmtId="0" fontId="24" fillId="15" borderId="2" xfId="1" applyFont="1" applyFill="1" applyBorder="1" applyAlignment="1" applyProtection="1">
      <alignment horizontal="center" vertical="center" textRotation="90" wrapText="1"/>
    </xf>
    <xf numFmtId="0" fontId="21" fillId="9" borderId="28" xfId="1" applyFont="1" applyFill="1" applyBorder="1" applyAlignment="1" applyProtection="1">
      <alignment horizontal="left" vertical="center" wrapText="1"/>
    </xf>
    <xf numFmtId="0" fontId="21" fillId="10" borderId="28" xfId="1" applyFont="1" applyFill="1" applyBorder="1" applyAlignment="1" applyProtection="1">
      <alignment horizontal="left" vertical="center" wrapText="1"/>
    </xf>
    <xf numFmtId="0" fontId="21" fillId="11" borderId="28" xfId="1" applyFont="1" applyFill="1" applyBorder="1" applyAlignment="1" applyProtection="1">
      <alignment horizontal="left" vertical="center" wrapText="1"/>
    </xf>
    <xf numFmtId="0" fontId="21" fillId="12" borderId="28" xfId="1" applyFont="1" applyFill="1" applyBorder="1" applyAlignment="1" applyProtection="1">
      <alignment horizontal="left" vertical="center" wrapText="1"/>
    </xf>
    <xf numFmtId="0" fontId="21" fillId="13" borderId="28" xfId="1" applyFont="1" applyFill="1" applyBorder="1" applyAlignment="1" applyProtection="1">
      <alignment horizontal="left" vertical="center" wrapText="1"/>
    </xf>
    <xf numFmtId="0" fontId="18" fillId="14" borderId="28" xfId="1" applyFont="1" applyFill="1" applyBorder="1" applyAlignment="1" applyProtection="1">
      <alignment horizontal="left" vertical="center" wrapText="1"/>
    </xf>
    <xf numFmtId="0" fontId="18" fillId="15" borderId="28" xfId="1" applyFont="1" applyFill="1" applyBorder="1" applyAlignment="1" applyProtection="1">
      <alignment horizontal="left" vertical="center" wrapText="1"/>
    </xf>
    <xf numFmtId="0" fontId="25" fillId="0" borderId="0" xfId="0" applyFont="1" applyAlignment="1" applyProtection="1">
      <alignment vertical="center"/>
    </xf>
    <xf numFmtId="0" fontId="2" fillId="18" borderId="1" xfId="0" applyFont="1" applyFill="1" applyBorder="1" applyAlignment="1" applyProtection="1">
      <alignment horizontal="center" vertical="center"/>
    </xf>
    <xf numFmtId="0" fontId="22" fillId="9" borderId="28" xfId="1" applyFont="1" applyFill="1" applyBorder="1" applyAlignment="1" applyProtection="1">
      <alignment horizontal="left" vertical="center" wrapText="1"/>
    </xf>
    <xf numFmtId="1" fontId="6" fillId="7" borderId="1" xfId="1" applyNumberFormat="1" applyFont="1" applyFill="1" applyBorder="1" applyAlignment="1" applyProtection="1">
      <alignment horizontal="center" vertical="center" wrapText="1"/>
    </xf>
    <xf numFmtId="1" fontId="6" fillId="0" borderId="1" xfId="1" applyNumberFormat="1" applyBorder="1" applyAlignment="1" applyProtection="1">
      <alignment horizontal="center" vertical="center" wrapText="1"/>
    </xf>
    <xf numFmtId="1" fontId="2" fillId="17" borderId="1" xfId="0" applyNumberFormat="1" applyFont="1" applyFill="1" applyBorder="1" applyAlignment="1" applyProtection="1">
      <alignment horizontal="center" vertical="center"/>
    </xf>
    <xf numFmtId="0" fontId="22" fillId="10" borderId="28" xfId="1" applyFont="1" applyFill="1" applyBorder="1" applyAlignment="1" applyProtection="1">
      <alignment horizontal="left" vertical="center" wrapText="1"/>
    </xf>
    <xf numFmtId="0" fontId="22" fillId="11" borderId="28" xfId="1" applyFont="1" applyFill="1" applyBorder="1" applyAlignment="1" applyProtection="1">
      <alignment horizontal="left" vertical="center" wrapText="1"/>
    </xf>
    <xf numFmtId="165" fontId="6" fillId="0" borderId="1" xfId="1" applyNumberFormat="1" applyBorder="1" applyAlignment="1" applyProtection="1">
      <alignment horizontal="center" vertical="center" wrapText="1"/>
    </xf>
    <xf numFmtId="1" fontId="6" fillId="0" borderId="1" xfId="1" applyNumberFormat="1" applyFont="1" applyFill="1" applyBorder="1" applyAlignment="1" applyProtection="1">
      <alignment horizontal="center" vertical="center" wrapText="1"/>
    </xf>
    <xf numFmtId="0" fontId="22" fillId="12" borderId="28" xfId="1" applyFont="1" applyFill="1" applyBorder="1" applyAlignment="1" applyProtection="1">
      <alignment horizontal="left" vertical="center" wrapText="1"/>
    </xf>
    <xf numFmtId="2" fontId="6" fillId="0" borderId="1" xfId="1" applyNumberFormat="1" applyBorder="1" applyAlignment="1" applyProtection="1">
      <alignment horizontal="center" vertical="center" wrapText="1"/>
    </xf>
    <xf numFmtId="1" fontId="6" fillId="7" borderId="1" xfId="1" applyNumberFormat="1" applyFill="1" applyBorder="1" applyAlignment="1" applyProtection="1">
      <alignment horizontal="center" vertical="center" wrapText="1"/>
    </xf>
    <xf numFmtId="0" fontId="22" fillId="13" borderId="28" xfId="1" applyFont="1" applyFill="1" applyBorder="1" applyAlignment="1" applyProtection="1">
      <alignment horizontal="left" vertical="center" wrapText="1"/>
    </xf>
    <xf numFmtId="0" fontId="27" fillId="0" borderId="0" xfId="4" applyFill="1" applyBorder="1" applyAlignment="1" applyProtection="1">
      <alignment vertical="center"/>
    </xf>
    <xf numFmtId="1" fontId="1" fillId="0" borderId="1" xfId="2" applyNumberFormat="1" applyBorder="1" applyAlignment="1" applyProtection="1">
      <alignment horizontal="center" vertical="center" wrapText="1"/>
    </xf>
    <xf numFmtId="164" fontId="1" fillId="0" borderId="1" xfId="2" applyNumberFormat="1" applyBorder="1" applyAlignment="1" applyProtection="1">
      <alignment horizontal="center" vertical="center" wrapText="1"/>
    </xf>
    <xf numFmtId="1" fontId="1" fillId="7" borderId="1" xfId="2" applyNumberFormat="1" applyFill="1" applyBorder="1" applyAlignment="1" applyProtection="1">
      <alignment horizontal="center" vertical="center" wrapText="1"/>
    </xf>
    <xf numFmtId="1" fontId="6" fillId="0" borderId="0" xfId="1" applyNumberFormat="1" applyBorder="1" applyAlignment="1" applyProtection="1">
      <alignment horizontal="center" vertical="center" wrapText="1"/>
    </xf>
    <xf numFmtId="0" fontId="19" fillId="17" borderId="1" xfId="1" applyFont="1" applyFill="1" applyBorder="1" applyAlignment="1" applyProtection="1">
      <alignment horizontal="right" vertical="center" wrapText="1"/>
    </xf>
    <xf numFmtId="0" fontId="19" fillId="0" borderId="0" xfId="1" applyFont="1" applyFill="1" applyBorder="1" applyAlignment="1" applyProtection="1">
      <alignment horizontal="right" vertical="center" wrapText="1"/>
    </xf>
    <xf numFmtId="1" fontId="2" fillId="0" borderId="0" xfId="0" applyNumberFormat="1" applyFont="1" applyFill="1" applyBorder="1" applyAlignment="1" applyProtection="1">
      <alignment horizontal="center" vertical="center"/>
    </xf>
    <xf numFmtId="0" fontId="25" fillId="0" borderId="0" xfId="0" applyFont="1" applyProtection="1">
      <alignment vertical="center"/>
    </xf>
    <xf numFmtId="0" fontId="2" fillId="17" borderId="1" xfId="0" applyFont="1" applyFill="1" applyBorder="1" applyAlignment="1" applyProtection="1">
      <alignment horizontal="center" vertical="center"/>
    </xf>
    <xf numFmtId="2" fontId="3" fillId="17" borderId="1" xfId="0" applyNumberFormat="1" applyFont="1" applyFill="1" applyBorder="1" applyAlignment="1" applyProtection="1">
      <alignment horizontal="center" vertical="center"/>
    </xf>
    <xf numFmtId="2" fontId="3" fillId="17" borderId="1" xfId="0" applyNumberFormat="1" applyFont="1" applyFill="1" applyBorder="1" applyAlignment="1" applyProtection="1">
      <alignment horizontal="center" vertical="center" wrapText="1"/>
    </xf>
    <xf numFmtId="49" fontId="9" fillId="17" borderId="1" xfId="0" applyNumberFormat="1" applyFont="1" applyFill="1" applyBorder="1" applyAlignment="1" applyProtection="1">
      <alignment horizontal="center" vertical="center"/>
    </xf>
    <xf numFmtId="49" fontId="33" fillId="17" borderId="1" xfId="0" applyNumberFormat="1" applyFont="1" applyFill="1" applyBorder="1" applyAlignment="1" applyProtection="1">
      <alignment horizontal="center" vertical="center"/>
    </xf>
    <xf numFmtId="0" fontId="3" fillId="17" borderId="1" xfId="0" applyFont="1" applyFill="1" applyBorder="1" applyAlignment="1" applyProtection="1">
      <alignment horizontal="center" vertical="center"/>
    </xf>
    <xf numFmtId="164" fontId="6" fillId="7" borderId="1" xfId="1" applyNumberFormat="1" applyFont="1" applyFill="1" applyBorder="1" applyAlignment="1" applyProtection="1">
      <alignment horizontal="center" vertical="center" wrapText="1"/>
    </xf>
    <xf numFmtId="164" fontId="6" fillId="0" borderId="1" xfId="1" applyNumberFormat="1" applyFont="1" applyFill="1" applyBorder="1" applyAlignment="1" applyProtection="1">
      <alignment horizontal="center" vertical="center" wrapText="1"/>
    </xf>
    <xf numFmtId="164" fontId="31" fillId="0" borderId="1" xfId="0" applyNumberFormat="1" applyFont="1" applyBorder="1" applyAlignment="1" applyProtection="1">
      <alignment horizontal="center" vertical="center"/>
    </xf>
    <xf numFmtId="164" fontId="30" fillId="0" borderId="1" xfId="0" applyNumberFormat="1" applyFont="1" applyBorder="1" applyAlignment="1" applyProtection="1">
      <alignment horizontal="center" vertical="center"/>
    </xf>
    <xf numFmtId="10" fontId="30" fillId="0" borderId="1" xfId="0" applyNumberFormat="1" applyFont="1" applyBorder="1" applyAlignment="1" applyProtection="1">
      <alignment horizontal="center" vertical="center"/>
    </xf>
    <xf numFmtId="164" fontId="32" fillId="0" borderId="1" xfId="5" applyNumberFormat="1" applyFont="1" applyFill="1" applyBorder="1" applyAlignment="1" applyProtection="1">
      <alignment horizontal="center" vertical="center"/>
    </xf>
    <xf numFmtId="164" fontId="0" fillId="0" borderId="0" xfId="0" applyNumberFormat="1" applyProtection="1">
      <alignment vertical="center"/>
    </xf>
    <xf numFmtId="164" fontId="6" fillId="0" borderId="1" xfId="1" applyNumberFormat="1" applyFill="1" applyBorder="1" applyAlignment="1" applyProtection="1">
      <alignment horizontal="center" vertical="center" wrapText="1"/>
    </xf>
    <xf numFmtId="164" fontId="6" fillId="7" borderId="1" xfId="1" applyNumberFormat="1" applyFill="1" applyBorder="1" applyAlignment="1" applyProtection="1">
      <alignment horizontal="center" vertical="center" wrapText="1"/>
    </xf>
    <xf numFmtId="164" fontId="32" fillId="0" borderId="1" xfId="0" applyNumberFormat="1" applyFont="1" applyBorder="1" applyAlignment="1" applyProtection="1">
      <alignment horizontal="center" vertical="center"/>
    </xf>
    <xf numFmtId="164" fontId="1" fillId="0" borderId="1" xfId="2" applyNumberFormat="1" applyFill="1" applyBorder="1" applyAlignment="1" applyProtection="1">
      <alignment horizontal="center" vertical="center" wrapText="1"/>
    </xf>
    <xf numFmtId="164" fontId="1" fillId="7" borderId="1" xfId="2" applyNumberFormat="1" applyFill="1" applyBorder="1" applyAlignment="1" applyProtection="1">
      <alignment horizontal="center" vertical="center" wrapText="1"/>
    </xf>
    <xf numFmtId="1" fontId="10" fillId="17" borderId="1" xfId="0" applyNumberFormat="1" applyFont="1" applyFill="1" applyBorder="1" applyAlignment="1" applyProtection="1">
      <alignment horizontal="center" vertical="center"/>
    </xf>
    <xf numFmtId="164" fontId="10" fillId="17" borderId="1" xfId="0" applyNumberFormat="1" applyFont="1" applyFill="1" applyBorder="1" applyAlignment="1" applyProtection="1">
      <alignment horizontal="center" vertical="center"/>
    </xf>
    <xf numFmtId="10" fontId="10" fillId="17" borderId="1" xfId="0" applyNumberFormat="1" applyFont="1" applyFill="1" applyBorder="1" applyAlignment="1" applyProtection="1">
      <alignment horizontal="center" vertical="center"/>
    </xf>
    <xf numFmtId="164" fontId="2" fillId="17" borderId="1" xfId="0" applyNumberFormat="1" applyFont="1" applyFill="1" applyBorder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protection locked="0"/>
    </xf>
    <xf numFmtId="1" fontId="2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2" fontId="3" fillId="0" borderId="0" xfId="0" applyNumberFormat="1" applyFont="1" applyFill="1" applyBorder="1" applyAlignment="1" applyProtection="1">
      <alignment horizontal="center"/>
      <protection locked="0"/>
    </xf>
    <xf numFmtId="2" fontId="3" fillId="0" borderId="0" xfId="0" applyNumberFormat="1" applyFont="1" applyFill="1" applyBorder="1" applyAlignment="1" applyProtection="1">
      <alignment horizontal="center" wrapText="1"/>
      <protection locked="0"/>
    </xf>
    <xf numFmtId="49" fontId="9" fillId="0" borderId="0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164" fontId="6" fillId="0" borderId="0" xfId="1" applyNumberFormat="1" applyFont="1" applyFill="1" applyBorder="1" applyAlignment="1" applyProtection="1">
      <alignment horizontal="center" vertical="center" wrapText="1"/>
      <protection locked="0"/>
    </xf>
    <xf numFmtId="164" fontId="2" fillId="0" borderId="0" xfId="0" applyNumberFormat="1" applyFont="1" applyFill="1" applyBorder="1" applyAlignment="1" applyProtection="1">
      <alignment horizontal="center" vertical="center"/>
      <protection locked="0"/>
    </xf>
    <xf numFmtId="164" fontId="11" fillId="0" borderId="0" xfId="0" applyNumberFormat="1" applyFont="1" applyFill="1" applyBorder="1" applyAlignment="1" applyProtection="1">
      <alignment horizontal="right"/>
      <protection locked="0"/>
    </xf>
    <xf numFmtId="10" fontId="11" fillId="0" borderId="0" xfId="0" applyNumberFormat="1" applyFont="1" applyFill="1" applyBorder="1" applyAlignment="1" applyProtection="1">
      <alignment horizontal="right"/>
      <protection locked="0"/>
    </xf>
    <xf numFmtId="164" fontId="13" fillId="0" borderId="0" xfId="0" applyNumberFormat="1" applyFont="1" applyFill="1" applyBorder="1" applyAlignment="1" applyProtection="1">
      <protection locked="0"/>
    </xf>
    <xf numFmtId="164" fontId="6" fillId="0" borderId="0" xfId="1" applyNumberFormat="1" applyFill="1" applyBorder="1" applyAlignment="1" applyProtection="1">
      <alignment horizontal="center" vertical="center" wrapText="1"/>
      <protection locked="0"/>
    </xf>
    <xf numFmtId="164" fontId="11" fillId="0" borderId="0" xfId="0" applyNumberFormat="1" applyFont="1" applyFill="1" applyBorder="1" applyAlignment="1" applyProtection="1">
      <alignment horizontal="right" vertical="center"/>
      <protection locked="0"/>
    </xf>
    <xf numFmtId="164" fontId="12" fillId="0" borderId="0" xfId="0" applyNumberFormat="1" applyFont="1" applyFill="1" applyBorder="1" applyAlignment="1" applyProtection="1">
      <alignment horizontal="right"/>
      <protection locked="0"/>
    </xf>
    <xf numFmtId="164" fontId="13" fillId="0" borderId="0" xfId="0" applyNumberFormat="1" applyFont="1" applyFill="1" applyBorder="1" applyProtection="1">
      <alignment vertical="center"/>
      <protection locked="0"/>
    </xf>
    <xf numFmtId="164" fontId="1" fillId="0" borderId="0" xfId="2" applyNumberFormat="1" applyFill="1" applyBorder="1" applyAlignment="1" applyProtection="1">
      <alignment horizontal="center" vertical="center" wrapText="1"/>
      <protection locked="0"/>
    </xf>
    <xf numFmtId="1" fontId="10" fillId="0" borderId="0" xfId="0" applyNumberFormat="1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Fill="1" applyBorder="1" applyProtection="1">
      <alignment vertical="center"/>
      <protection locked="0"/>
    </xf>
    <xf numFmtId="0" fontId="0" fillId="0" borderId="0" xfId="0" applyFill="1" applyProtection="1">
      <alignment vertical="center"/>
    </xf>
    <xf numFmtId="12" fontId="6" fillId="8" borderId="1" xfId="1" applyNumberFormat="1" applyFont="1" applyFill="1" applyBorder="1" applyAlignment="1" applyProtection="1">
      <alignment horizontal="center" vertical="center" wrapText="1"/>
    </xf>
    <xf numFmtId="12" fontId="6" fillId="0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/>
    <xf numFmtId="0" fontId="0" fillId="0" borderId="0" xfId="0" applyFill="1" applyBorder="1" applyProtection="1">
      <alignment vertical="center"/>
    </xf>
    <xf numFmtId="0" fontId="8" fillId="0" borderId="0" xfId="1" applyFont="1" applyFill="1" applyBorder="1" applyAlignment="1" applyProtection="1">
      <alignment horizontal="left" vertical="center" wrapText="1"/>
    </xf>
    <xf numFmtId="0" fontId="8" fillId="0" borderId="0" xfId="1" applyFont="1" applyFill="1" applyBorder="1" applyAlignment="1" applyProtection="1">
      <alignment horizontal="right" vertical="center" wrapText="1"/>
    </xf>
    <xf numFmtId="1" fontId="4" fillId="0" borderId="5" xfId="5" applyNumberFormat="1" applyFont="1" applyFill="1" applyBorder="1" applyAlignment="1" applyProtection="1">
      <alignment vertical="center"/>
    </xf>
    <xf numFmtId="164" fontId="3" fillId="0" borderId="5" xfId="0" applyNumberFormat="1" applyFont="1" applyBorder="1" applyAlignment="1" applyProtection="1">
      <alignment vertical="center"/>
    </xf>
    <xf numFmtId="0" fontId="3" fillId="0" borderId="5" xfId="0" applyFont="1" applyBorder="1" applyAlignment="1" applyProtection="1">
      <alignment vertical="center"/>
    </xf>
    <xf numFmtId="10" fontId="3" fillId="0" borderId="5" xfId="0" applyNumberFormat="1" applyFont="1" applyBorder="1" applyAlignment="1" applyProtection="1">
      <alignment vertical="center"/>
    </xf>
    <xf numFmtId="164" fontId="6" fillId="0" borderId="1" xfId="1" applyNumberFormat="1" applyBorder="1" applyAlignment="1" applyProtection="1">
      <alignment horizontal="center" vertical="center" wrapText="1"/>
    </xf>
    <xf numFmtId="0" fontId="3" fillId="2" borderId="1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3" fillId="2" borderId="14" xfId="0" applyFont="1" applyFill="1" applyBorder="1" applyAlignment="1">
      <alignment horizontal="center" wrapText="1"/>
    </xf>
    <xf numFmtId="0" fontId="0" fillId="2" borderId="17" xfId="0" applyFill="1" applyBorder="1" applyAlignment="1">
      <alignment horizontal="left" textRotation="90"/>
    </xf>
    <xf numFmtId="0" fontId="0" fillId="2" borderId="18" xfId="0" applyFill="1" applyBorder="1" applyAlignment="1">
      <alignment horizontal="left" textRotation="90"/>
    </xf>
    <xf numFmtId="0" fontId="0" fillId="2" borderId="18" xfId="0" applyFill="1" applyBorder="1" applyAlignment="1">
      <alignment horizontal="center" textRotation="90"/>
    </xf>
    <xf numFmtId="0" fontId="0" fillId="2" borderId="19" xfId="0" applyFill="1" applyBorder="1" applyAlignment="1">
      <alignment horizontal="center" textRotation="90"/>
    </xf>
    <xf numFmtId="0" fontId="0" fillId="2" borderId="20" xfId="0" applyFill="1" applyBorder="1" applyAlignment="1">
      <alignment horizontal="center" textRotation="90"/>
    </xf>
    <xf numFmtId="0" fontId="0" fillId="2" borderId="17" xfId="0" applyFill="1" applyBorder="1" applyAlignment="1">
      <alignment horizontal="center" textRotation="90"/>
    </xf>
    <xf numFmtId="0" fontId="3" fillId="4" borderId="18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2" borderId="37" xfId="0" applyFill="1" applyBorder="1" applyAlignment="1">
      <alignment horizontal="center" textRotation="90"/>
    </xf>
    <xf numFmtId="0" fontId="0" fillId="2" borderId="36" xfId="0" applyFill="1" applyBorder="1" applyAlignment="1">
      <alignment horizontal="center" textRotation="90"/>
    </xf>
    <xf numFmtId="0" fontId="0" fillId="2" borderId="38" xfId="0" applyFill="1" applyBorder="1" applyAlignment="1">
      <alignment horizontal="center" textRotation="90"/>
    </xf>
    <xf numFmtId="0" fontId="0" fillId="2" borderId="39" xfId="0" applyFill="1" applyBorder="1" applyAlignment="1">
      <alignment horizontal="center" textRotation="90"/>
    </xf>
    <xf numFmtId="0" fontId="14" fillId="0" borderId="0" xfId="0" applyFont="1" applyAlignment="1">
      <alignment horizontal="center" vertical="center"/>
    </xf>
    <xf numFmtId="0" fontId="15" fillId="20" borderId="0" xfId="0" applyFont="1" applyFill="1" applyAlignment="1">
      <alignment horizontal="center" vertical="center"/>
    </xf>
    <xf numFmtId="0" fontId="2" fillId="16" borderId="0" xfId="0" applyFont="1" applyFill="1" applyAlignment="1" applyProtection="1">
      <alignment horizontal="center" vertical="center"/>
    </xf>
    <xf numFmtId="164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16" fillId="18" borderId="6" xfId="0" applyFont="1" applyFill="1" applyBorder="1" applyAlignment="1" applyProtection="1">
      <alignment horizontal="center" vertical="center"/>
    </xf>
    <xf numFmtId="0" fontId="16" fillId="18" borderId="55" xfId="0" applyFont="1" applyFill="1" applyBorder="1" applyAlignment="1" applyProtection="1">
      <alignment horizontal="center" vertical="center"/>
    </xf>
    <xf numFmtId="0" fontId="16" fillId="18" borderId="7" xfId="0" applyFont="1" applyFill="1" applyBorder="1" applyAlignment="1" applyProtection="1">
      <alignment horizontal="center" vertical="center"/>
    </xf>
    <xf numFmtId="1" fontId="4" fillId="0" borderId="3" xfId="5" applyNumberFormat="1" applyFont="1" applyFill="1" applyBorder="1" applyAlignment="1" applyProtection="1">
      <alignment horizontal="center" vertical="center"/>
    </xf>
    <xf numFmtId="1" fontId="4" fillId="0" borderId="4" xfId="5" applyNumberFormat="1" applyFont="1" applyFill="1" applyBorder="1" applyAlignment="1" applyProtection="1">
      <alignment horizontal="center" vertical="center"/>
    </xf>
    <xf numFmtId="164" fontId="3" fillId="0" borderId="3" xfId="0" applyNumberFormat="1" applyFont="1" applyBorder="1" applyAlignment="1" applyProtection="1">
      <alignment horizontal="center" vertical="center"/>
    </xf>
    <xf numFmtId="164" fontId="3" fillId="0" borderId="4" xfId="0" applyNumberFormat="1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10" fontId="3" fillId="0" borderId="3" xfId="0" applyNumberFormat="1" applyFont="1" applyBorder="1" applyAlignment="1" applyProtection="1">
      <alignment horizontal="center" vertical="center"/>
    </xf>
    <xf numFmtId="10" fontId="3" fillId="0" borderId="4" xfId="0" applyNumberFormat="1" applyFont="1" applyBorder="1" applyAlignment="1" applyProtection="1">
      <alignment horizontal="center" vertical="center"/>
    </xf>
    <xf numFmtId="0" fontId="0" fillId="27" borderId="51" xfId="0" applyFill="1" applyBorder="1" applyAlignment="1">
      <alignment horizontal="center" vertical="center"/>
    </xf>
    <xf numFmtId="0" fontId="0" fillId="27" borderId="52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19" borderId="4" xfId="0" applyFont="1" applyFill="1" applyBorder="1" applyAlignment="1">
      <alignment horizontal="center" vertical="center"/>
    </xf>
    <xf numFmtId="0" fontId="2" fillId="19" borderId="5" xfId="0" applyFont="1" applyFill="1" applyBorder="1" applyAlignment="1">
      <alignment horizontal="center" vertical="center"/>
    </xf>
    <xf numFmtId="0" fontId="34" fillId="22" borderId="1" xfId="0" applyFont="1" applyFill="1" applyBorder="1" applyAlignment="1">
      <alignment horizontal="center" vertical="center"/>
    </xf>
    <xf numFmtId="0" fontId="28" fillId="2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5" fillId="0" borderId="51" xfId="0" applyFont="1" applyBorder="1" applyAlignment="1">
      <alignment horizontal="center" vertical="center"/>
    </xf>
    <xf numFmtId="0" fontId="15" fillId="0" borderId="52" xfId="0" applyFont="1" applyBorder="1" applyAlignment="1">
      <alignment horizontal="center" vertical="center"/>
    </xf>
    <xf numFmtId="0" fontId="15" fillId="0" borderId="53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</cellXfs>
  <cellStyles count="6">
    <cellStyle name="Dane wejściowe" xfId="4" builtinId="20"/>
    <cellStyle name="Excel Built-in Normal" xfId="1" xr:uid="{21726C4F-E8D9-40B7-9AAE-C10EC7C8DB7F}"/>
    <cellStyle name="Normalny" xfId="0" builtinId="0"/>
    <cellStyle name="Normalny 2" xfId="2" xr:uid="{F87F3A47-6802-45F2-B702-22BB14CDE75E}"/>
    <cellStyle name="Procentowy 2" xfId="3" xr:uid="{9CA70F95-2F51-4A1C-974E-6B0EF31D90E6}"/>
    <cellStyle name="Zły" xfId="5" builtinId="27"/>
  </cellStyles>
  <dxfs count="0"/>
  <tableStyles count="0" defaultTableStyle="TableStyleMedium2" defaultPivotStyle="PivotStyleLight16"/>
  <colors>
    <mruColors>
      <color rgb="FFFFFFE7"/>
      <color rgb="FF66FFFF"/>
      <color rgb="FFFFFFFF"/>
      <color rgb="FF50007F"/>
      <color rgb="FF00007F"/>
      <color rgb="FF00FFFF"/>
      <color rgb="FF00FF00"/>
      <color rgb="FFFFFF00"/>
      <color rgb="FFFF80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Wykres kryteriów sieci kanalizacyjnej macierzy MG_WSK, po obliczeniu średniej arytmetycznej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Macierz_G_SK!$D$28</c:f>
              <c:strCache>
                <c:ptCount val="1"/>
                <c:pt idx="0">
                  <c:v> 1. Sieć Grawitacyjna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Macierz_G_SK!$E$28:$K$28</c:f>
              <c:numCache>
                <c:formatCode>0.0000</c:formatCode>
                <c:ptCount val="7"/>
                <c:pt idx="0">
                  <c:v>0.15384615384615385</c:v>
                </c:pt>
                <c:pt idx="1">
                  <c:v>0.25</c:v>
                </c:pt>
                <c:pt idx="2">
                  <c:v>0.17142857142857143</c:v>
                </c:pt>
                <c:pt idx="3">
                  <c:v>0.16666666666666666</c:v>
                </c:pt>
                <c:pt idx="4">
                  <c:v>0.10344827586206898</c:v>
                </c:pt>
                <c:pt idx="5">
                  <c:v>9.5238095238095233E-2</c:v>
                </c:pt>
                <c:pt idx="6">
                  <c:v>0.15384615384615385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C-4E5D-AA32-4D28F5032796}"/>
            </c:ext>
          </c:extLst>
        </c:ser>
        <c:ser>
          <c:idx val="1"/>
          <c:order val="1"/>
          <c:tx>
            <c:strRef>
              <c:f>Macierz_G_SK!$D$29</c:f>
              <c:strCache>
                <c:ptCount val="1"/>
                <c:pt idx="0">
                  <c:v> 2. Sieć Małośrednicowa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Macierz_G_SK!$E$29:$K$29</c:f>
              <c:numCache>
                <c:formatCode>0.0000</c:formatCode>
                <c:ptCount val="7"/>
                <c:pt idx="0">
                  <c:v>7.6923076923076927E-2</c:v>
                </c:pt>
                <c:pt idx="1">
                  <c:v>0.125</c:v>
                </c:pt>
                <c:pt idx="2">
                  <c:v>0.34285714285714286</c:v>
                </c:pt>
                <c:pt idx="3">
                  <c:v>0.16666666666666666</c:v>
                </c:pt>
                <c:pt idx="4">
                  <c:v>0.10344827586206898</c:v>
                </c:pt>
                <c:pt idx="5">
                  <c:v>9.5238095238095233E-2</c:v>
                </c:pt>
                <c:pt idx="6">
                  <c:v>7.6923076923076927E-2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5C-4E5D-AA32-4D28F5032796}"/>
            </c:ext>
          </c:extLst>
        </c:ser>
        <c:ser>
          <c:idx val="2"/>
          <c:order val="2"/>
          <c:tx>
            <c:strRef>
              <c:f>Macierz_G_SK!$D$30</c:f>
              <c:strCache>
                <c:ptCount val="1"/>
                <c:pt idx="0">
                  <c:v> 3. Sieć Podciśnieniowa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Macierz_G_SK!$E$30:$K$30</c:f>
              <c:numCache>
                <c:formatCode>0.0000</c:formatCode>
                <c:ptCount val="7"/>
                <c:pt idx="0">
                  <c:v>0.15384615384615385</c:v>
                </c:pt>
                <c:pt idx="1">
                  <c:v>6.25E-2</c:v>
                </c:pt>
                <c:pt idx="2">
                  <c:v>0.17142857142857143</c:v>
                </c:pt>
                <c:pt idx="3">
                  <c:v>0.33333333333333331</c:v>
                </c:pt>
                <c:pt idx="4">
                  <c:v>0.20689655172413796</c:v>
                </c:pt>
                <c:pt idx="5">
                  <c:v>0.2857142857142857</c:v>
                </c:pt>
                <c:pt idx="6">
                  <c:v>0.30769230769230771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5C-4E5D-AA32-4D28F5032796}"/>
            </c:ext>
          </c:extLst>
        </c:ser>
        <c:ser>
          <c:idx val="3"/>
          <c:order val="3"/>
          <c:tx>
            <c:strRef>
              <c:f>Macierz_G_SK!$D$31</c:f>
              <c:strCache>
                <c:ptCount val="1"/>
                <c:pt idx="0">
                  <c:v> 4. Sieć Niskociśnieniowa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Macierz_G_SK!$E$31:$K$31</c:f>
              <c:numCache>
                <c:formatCode>0.0000</c:formatCode>
                <c:ptCount val="7"/>
                <c:pt idx="0">
                  <c:v>7.6923076923076927E-2</c:v>
                </c:pt>
                <c:pt idx="1">
                  <c:v>6.25E-2</c:v>
                </c:pt>
                <c:pt idx="2">
                  <c:v>4.2857142857142858E-2</c:v>
                </c:pt>
                <c:pt idx="3">
                  <c:v>8.3333333333333329E-2</c:v>
                </c:pt>
                <c:pt idx="4">
                  <c:v>0.20689655172413796</c:v>
                </c:pt>
                <c:pt idx="5">
                  <c:v>9.5238095238095233E-2</c:v>
                </c:pt>
                <c:pt idx="6">
                  <c:v>7.6923076923076927E-2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5C-4E5D-AA32-4D28F5032796}"/>
            </c:ext>
          </c:extLst>
        </c:ser>
        <c:ser>
          <c:idx val="4"/>
          <c:order val="4"/>
          <c:tx>
            <c:strRef>
              <c:f>Macierz_G_SK!$D$32</c:f>
              <c:strCache>
                <c:ptCount val="1"/>
                <c:pt idx="0">
                  <c:v> 5. Sieć Wysokociśnieniowa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Macierz_G_SK!$E$32:$K$32</c:f>
              <c:numCache>
                <c:formatCode>0.0000</c:formatCode>
                <c:ptCount val="7"/>
                <c:pt idx="0">
                  <c:v>0.30769230769230771</c:v>
                </c:pt>
                <c:pt idx="1">
                  <c:v>0.25</c:v>
                </c:pt>
                <c:pt idx="2">
                  <c:v>0.17142857142857143</c:v>
                </c:pt>
                <c:pt idx="3">
                  <c:v>8.3333333333333329E-2</c:v>
                </c:pt>
                <c:pt idx="4">
                  <c:v>0.20689655172413796</c:v>
                </c:pt>
                <c:pt idx="5">
                  <c:v>0.2857142857142857</c:v>
                </c:pt>
                <c:pt idx="6">
                  <c:v>0.15384615384615385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5C-4E5D-AA32-4D28F5032796}"/>
            </c:ext>
          </c:extLst>
        </c:ser>
        <c:ser>
          <c:idx val="5"/>
          <c:order val="5"/>
          <c:tx>
            <c:strRef>
              <c:f>Macierz_G_SK!$D$33</c:f>
              <c:strCache>
                <c:ptCount val="1"/>
                <c:pt idx="0">
                  <c:v> 6. Sieć Mieszana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Macierz_G_SK!$E$33:$K$33</c:f>
              <c:numCache>
                <c:formatCode>0.0000</c:formatCode>
                <c:ptCount val="7"/>
                <c:pt idx="0">
                  <c:v>0.15384615384615385</c:v>
                </c:pt>
                <c:pt idx="1">
                  <c:v>0.125</c:v>
                </c:pt>
                <c:pt idx="2">
                  <c:v>5.7142857142857141E-2</c:v>
                </c:pt>
                <c:pt idx="3">
                  <c:v>8.3333333333333329E-2</c:v>
                </c:pt>
                <c:pt idx="4">
                  <c:v>6.8965517241379309E-2</c:v>
                </c:pt>
                <c:pt idx="5">
                  <c:v>9.5238095238095233E-2</c:v>
                </c:pt>
                <c:pt idx="6">
                  <c:v>0.15384615384615385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5C-4E5D-AA32-4D28F5032796}"/>
            </c:ext>
          </c:extLst>
        </c:ser>
        <c:ser>
          <c:idx val="6"/>
          <c:order val="6"/>
          <c:tx>
            <c:strRef>
              <c:f>Macierz_G_SK!$D$34</c:f>
              <c:strCache>
                <c:ptCount val="1"/>
                <c:pt idx="0">
                  <c:v> 7. Oczyszczalnia Przydomowa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Macierz_G_SK!$E$34:$K$34</c:f>
              <c:numCache>
                <c:formatCode>0.0000</c:formatCode>
                <c:ptCount val="7"/>
                <c:pt idx="0">
                  <c:v>7.6923076923076927E-2</c:v>
                </c:pt>
                <c:pt idx="1">
                  <c:v>0.125</c:v>
                </c:pt>
                <c:pt idx="2">
                  <c:v>4.2857142857142858E-2</c:v>
                </c:pt>
                <c:pt idx="3">
                  <c:v>8.3333333333333329E-2</c:v>
                </c:pt>
                <c:pt idx="4">
                  <c:v>0.10344827586206898</c:v>
                </c:pt>
                <c:pt idx="5">
                  <c:v>4.7619047619047616E-2</c:v>
                </c:pt>
                <c:pt idx="6">
                  <c:v>7.6923076923076927E-2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5C-4E5D-AA32-4D28F5032796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1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521382208"/>
        <c:axId val="479934656"/>
        <c:axId val="422198736"/>
      </c:surface3DChart>
      <c:catAx>
        <c:axId val="52138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9934656"/>
        <c:crosses val="autoZero"/>
        <c:auto val="1"/>
        <c:lblAlgn val="ctr"/>
        <c:lblOffset val="100"/>
        <c:noMultiLvlLbl val="0"/>
      </c:catAx>
      <c:valAx>
        <c:axId val="47993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1382208"/>
        <c:crosses val="autoZero"/>
        <c:crossBetween val="midCat"/>
      </c:valAx>
      <c:serAx>
        <c:axId val="422198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7993465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/>
              <a:t>Wykres kryteriów macierzy MG_WSK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Macierz_G_SK!$D$8</c:f>
              <c:strCache>
                <c:ptCount val="1"/>
                <c:pt idx="0">
                  <c:v> 1. Sieć Grawitacyjna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Macierz_G_SK!$D$8:$D$14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Macierz_G_SK!$E$8:$K$8</c:f>
              <c:numCache>
                <c:formatCode>#\ ?/?</c:formatCode>
                <c:ptCount val="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0.5</c:v>
                </c:pt>
                <c:pt idx="5">
                  <c:v>1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1-4E9D-B57C-6F560452DEEA}"/>
            </c:ext>
          </c:extLst>
        </c:ser>
        <c:ser>
          <c:idx val="1"/>
          <c:order val="1"/>
          <c:tx>
            <c:strRef>
              <c:f>Macierz_G_SK!$D$9</c:f>
              <c:strCache>
                <c:ptCount val="1"/>
                <c:pt idx="0">
                  <c:v> 2. Sieć Małośrednicowa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Macierz_G_SK!$D$8:$D$14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Macierz_G_SK!$E$9:$K$9</c:f>
              <c:numCache>
                <c:formatCode>#\ ?/?</c:formatCode>
                <c:ptCount val="7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0.5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71-4E9D-B57C-6F560452DEEA}"/>
            </c:ext>
          </c:extLst>
        </c:ser>
        <c:ser>
          <c:idx val="2"/>
          <c:order val="2"/>
          <c:tx>
            <c:strRef>
              <c:f>Macierz_G_SK!$D$10</c:f>
              <c:strCache>
                <c:ptCount val="1"/>
                <c:pt idx="0">
                  <c:v> 3. Sieć Podciśnieniowa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Macierz_G_SK!$D$8:$D$14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Macierz_G_SK!$E$10:$K$10</c:f>
              <c:numCache>
                <c:formatCode>#\ ?/?</c:formatCode>
                <c:ptCount val="7"/>
                <c:pt idx="0">
                  <c:v>1</c:v>
                </c:pt>
                <c:pt idx="1">
                  <c:v>0.5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71-4E9D-B57C-6F560452DEEA}"/>
            </c:ext>
          </c:extLst>
        </c:ser>
        <c:ser>
          <c:idx val="3"/>
          <c:order val="3"/>
          <c:tx>
            <c:strRef>
              <c:f>Macierz_G_SK!$D$11</c:f>
              <c:strCache>
                <c:ptCount val="1"/>
                <c:pt idx="0">
                  <c:v> 4. Sieć Niskociśnieniowa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Macierz_G_SK!$D$8:$D$14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Macierz_G_SK!$E$11:$K$11</c:f>
              <c:numCache>
                <c:formatCode>#\ ?/?</c:formatCode>
                <c:ptCount val="7"/>
                <c:pt idx="0">
                  <c:v>0.5</c:v>
                </c:pt>
                <c:pt idx="1">
                  <c:v>0.5</c:v>
                </c:pt>
                <c:pt idx="2">
                  <c:v>0.25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71-4E9D-B57C-6F560452DEEA}"/>
            </c:ext>
          </c:extLst>
        </c:ser>
        <c:ser>
          <c:idx val="4"/>
          <c:order val="4"/>
          <c:tx>
            <c:strRef>
              <c:f>Macierz_G_SK!$D$12</c:f>
              <c:strCache>
                <c:ptCount val="1"/>
                <c:pt idx="0">
                  <c:v> 5. Sieć Wysokociśnieniowa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Macierz_G_SK!$D$8:$D$14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Macierz_G_SK!$E$12:$K$12</c:f>
              <c:numCache>
                <c:formatCode>#\ ?/?</c:formatCode>
                <c:ptCount val="7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71-4E9D-B57C-6F560452DEEA}"/>
            </c:ext>
          </c:extLst>
        </c:ser>
        <c:ser>
          <c:idx val="5"/>
          <c:order val="5"/>
          <c:tx>
            <c:strRef>
              <c:f>Macierz_G_SK!$D$13</c:f>
              <c:strCache>
                <c:ptCount val="1"/>
                <c:pt idx="0">
                  <c:v> 6. Sieć Mieszana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Macierz_G_SK!$D$8:$D$14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Macierz_G_SK!$E$13:$K$13</c:f>
              <c:numCache>
                <c:formatCode>#\ ?/?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0.33333333333333331</c:v>
                </c:pt>
                <c:pt idx="3">
                  <c:v>1</c:v>
                </c:pt>
                <c:pt idx="4">
                  <c:v>0.33333333333333331</c:v>
                </c:pt>
                <c:pt idx="5">
                  <c:v>1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771-4E9D-B57C-6F560452DEEA}"/>
            </c:ext>
          </c:extLst>
        </c:ser>
        <c:ser>
          <c:idx val="6"/>
          <c:order val="6"/>
          <c:tx>
            <c:strRef>
              <c:f>Macierz_G_SK!$D$14</c:f>
              <c:strCache>
                <c:ptCount val="1"/>
                <c:pt idx="0">
                  <c:v> 7. Oczyszczalnia Przydomowa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Macierz_G_SK!$D$8:$D$14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Macierz_G_SK!$E$14:$K$14</c:f>
              <c:numCache>
                <c:formatCode>#\ ?/?</c:formatCode>
                <c:ptCount val="7"/>
                <c:pt idx="0">
                  <c:v>0.5</c:v>
                </c:pt>
                <c:pt idx="1">
                  <c:v>1</c:v>
                </c:pt>
                <c:pt idx="2">
                  <c:v>0.25</c:v>
                </c:pt>
                <c:pt idx="3">
                  <c:v>1</c:v>
                </c:pt>
                <c:pt idx="4">
                  <c:v>0.5</c:v>
                </c:pt>
                <c:pt idx="5">
                  <c:v>0.5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771-4E9D-B57C-6F560452DEE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tint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tint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tint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shade val="8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shade val="7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7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7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shade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shade val="4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417502624"/>
        <c:axId val="426674944"/>
        <c:axId val="426138512"/>
      </c:surface3DChart>
      <c:catAx>
        <c:axId val="41750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26674944"/>
        <c:crosses val="autoZero"/>
        <c:auto val="1"/>
        <c:lblAlgn val="ctr"/>
        <c:lblOffset val="100"/>
        <c:noMultiLvlLbl val="0"/>
      </c:catAx>
      <c:valAx>
        <c:axId val="42667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#\ ?/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17502624"/>
        <c:crosses val="autoZero"/>
        <c:crossBetween val="midCat"/>
      </c:valAx>
      <c:serAx>
        <c:axId val="4261385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2667494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l-PL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Wartość współczynników </a:t>
            </a:r>
            <a:r>
              <a:rPr lang="pl-PL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  <a:latin typeface="Symbol" panose="05050102010706020507" pitchFamily="18" charset="2"/>
              </a:rPr>
              <a:t>l</a:t>
            </a:r>
            <a:r>
              <a:rPr lang="pl-PL" sz="1800" b="1" i="0" baseline="-2500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max</a:t>
            </a:r>
            <a:r>
              <a:rPr lang="pl-PL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,CI,RI,CR</a:t>
            </a:r>
            <a:endParaRPr lang="pl-PL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Macierz_G_SK!$D$28</c:f>
              <c:strCache>
                <c:ptCount val="1"/>
                <c:pt idx="0">
                  <c:v> 1. Sieć Grawitacyjna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Macierz_G_SK!$L$28:$U$28</c:f>
              <c:numCache>
                <c:formatCode>0.0000</c:formatCode>
                <c:ptCount val="10"/>
                <c:pt idx="0">
                  <c:v>1.09447391688771</c:v>
                </c:pt>
                <c:pt idx="1">
                  <c:v>0.15635341669824429</c:v>
                </c:pt>
                <c:pt idx="2" formatCode="0.00%">
                  <c:v>5.0000000000000001E-3</c:v>
                </c:pt>
                <c:pt idx="3">
                  <c:v>7.8176708349122148E-4</c:v>
                </c:pt>
                <c:pt idx="4">
                  <c:v>1.016297208538588</c:v>
                </c:pt>
                <c:pt idx="5" formatCode="0">
                  <c:v>7</c:v>
                </c:pt>
                <c:pt idx="6">
                  <c:v>0.1105868537364844</c:v>
                </c:pt>
                <c:pt idx="7" formatCode="General">
                  <c:v>1.35</c:v>
                </c:pt>
                <c:pt idx="8">
                  <c:v>8.19161879529514E-2</c:v>
                </c:pt>
                <c:pt idx="9" formatCode="0.00%">
                  <c:v>8.19161879529514E-2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2-419C-98D2-E140D30AF869}"/>
            </c:ext>
          </c:extLst>
        </c:ser>
        <c:ser>
          <c:idx val="1"/>
          <c:order val="1"/>
          <c:tx>
            <c:strRef>
              <c:f>Macierz_G_SK!$D$29</c:f>
              <c:strCache>
                <c:ptCount val="1"/>
                <c:pt idx="0">
                  <c:v> 2. Sieć Małośrednicowa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Macierz_G_SK!$L$29:$U$29</c:f>
              <c:numCache>
                <c:formatCode>0.0000</c:formatCode>
                <c:ptCount val="10"/>
                <c:pt idx="0">
                  <c:v>0.98705633447012753</c:v>
                </c:pt>
                <c:pt idx="1">
                  <c:v>0.14100804778144679</c:v>
                </c:pt>
                <c:pt idx="2" formatCode="0.00%">
                  <c:v>5.0000000000000001E-3</c:v>
                </c:pt>
                <c:pt idx="3">
                  <c:v>7.0504023890723393E-4</c:v>
                </c:pt>
                <c:pt idx="4">
                  <c:v>1.1280643822515743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2-419C-98D2-E140D30AF869}"/>
            </c:ext>
          </c:extLst>
        </c:ser>
        <c:ser>
          <c:idx val="2"/>
          <c:order val="2"/>
          <c:tx>
            <c:strRef>
              <c:f>Macierz_G_SK!$D$30</c:f>
              <c:strCache>
                <c:ptCount val="1"/>
                <c:pt idx="0">
                  <c:v> 3. Sieć Podciśnieniowa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Macierz_G_SK!$L$30:$U$30</c:f>
              <c:numCache>
                <c:formatCode>0.0000</c:formatCode>
                <c:ptCount val="10"/>
                <c:pt idx="0">
                  <c:v>1.5214112037387901</c:v>
                </c:pt>
                <c:pt idx="1">
                  <c:v>0.21734445767697003</c:v>
                </c:pt>
                <c:pt idx="2" formatCode="0.00%">
                  <c:v>5.0000000000000001E-3</c:v>
                </c:pt>
                <c:pt idx="3">
                  <c:v>1.0867222883848501E-3</c:v>
                </c:pt>
                <c:pt idx="4">
                  <c:v>1.2678426697823251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2-419C-98D2-E140D30AF869}"/>
            </c:ext>
          </c:extLst>
        </c:ser>
        <c:ser>
          <c:idx val="3"/>
          <c:order val="3"/>
          <c:tx>
            <c:strRef>
              <c:f>Macierz_G_SK!$D$31</c:f>
              <c:strCache>
                <c:ptCount val="1"/>
                <c:pt idx="0">
                  <c:v> 4. Sieć Niskociśnieniowa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Macierz_G_SK!$L$31:$U$31</c:f>
              <c:numCache>
                <c:formatCode>0.0000</c:formatCode>
                <c:ptCount val="10"/>
                <c:pt idx="0">
                  <c:v>0.64467127699886317</c:v>
                </c:pt>
                <c:pt idx="1">
                  <c:v>9.2095896714123313E-2</c:v>
                </c:pt>
                <c:pt idx="2" formatCode="0.00%">
                  <c:v>5.0000000000000001E-3</c:v>
                </c:pt>
                <c:pt idx="3">
                  <c:v>4.6047948357061657E-4</c:v>
                </c:pt>
                <c:pt idx="4">
                  <c:v>1.1051507605694797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92-419C-98D2-E140D30AF869}"/>
            </c:ext>
          </c:extLst>
        </c:ser>
        <c:ser>
          <c:idx val="4"/>
          <c:order val="4"/>
          <c:tx>
            <c:strRef>
              <c:f>Macierz_G_SK!$D$32</c:f>
              <c:strCache>
                <c:ptCount val="1"/>
                <c:pt idx="0">
                  <c:v> 5. Sieć Wysokociśnieniowa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Macierz_G_SK!$L$32:$U$32</c:f>
              <c:numCache>
                <c:formatCode>0.0000</c:formatCode>
                <c:ptCount val="10"/>
                <c:pt idx="0">
                  <c:v>1.4589112037387899</c:v>
                </c:pt>
                <c:pt idx="1">
                  <c:v>0.20841588624839855</c:v>
                </c:pt>
                <c:pt idx="2" formatCode="0.00%">
                  <c:v>5.0000000000000001E-3</c:v>
                </c:pt>
                <c:pt idx="3">
                  <c:v>1.0420794312419926E-3</c:v>
                </c:pt>
                <c:pt idx="4">
                  <c:v>1.0073434502005929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2-419C-98D2-E140D30AF869}"/>
            </c:ext>
          </c:extLst>
        </c:ser>
        <c:ser>
          <c:idx val="5"/>
          <c:order val="5"/>
          <c:tx>
            <c:strRef>
              <c:f>Macierz_G_SK!$D$33</c:f>
              <c:strCache>
                <c:ptCount val="1"/>
                <c:pt idx="0">
                  <c:v> 6. Sieć Mieszana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Macierz_G_SK!$L$33:$U$33</c:f>
              <c:numCache>
                <c:formatCode>0.0000</c:formatCode>
                <c:ptCount val="10"/>
                <c:pt idx="0">
                  <c:v>0.7373721106479727</c:v>
                </c:pt>
                <c:pt idx="1">
                  <c:v>0.10533887294971038</c:v>
                </c:pt>
                <c:pt idx="2" formatCode="0.00%">
                  <c:v>5.0000000000000001E-3</c:v>
                </c:pt>
                <c:pt idx="3">
                  <c:v>5.2669436474855186E-4</c:v>
                </c:pt>
                <c:pt idx="4">
                  <c:v>1.1060581659719591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2-419C-98D2-E140D30AF869}"/>
            </c:ext>
          </c:extLst>
        </c:ser>
        <c:ser>
          <c:idx val="6"/>
          <c:order val="6"/>
          <c:tx>
            <c:strRef>
              <c:f>Macierz_G_SK!$D$34</c:f>
              <c:strCache>
                <c:ptCount val="1"/>
                <c:pt idx="0">
                  <c:v> 7. Oczyszczalnia Przydomowa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Macierz_G_SK!$D$28:$D$34</c:f>
              <c:strCache>
                <c:ptCount val="7"/>
                <c:pt idx="0">
                  <c:v> 1. Sieć Grawitacyjna</c:v>
                </c:pt>
                <c:pt idx="1">
                  <c:v> 2. Sieć Małośrednicowa</c:v>
                </c:pt>
                <c:pt idx="2">
                  <c:v> 3. Sieć Podciśnieniowa </c:v>
                </c:pt>
                <c:pt idx="3">
                  <c:v> 4. Sieć Niskociśnieniowa</c:v>
                </c:pt>
                <c:pt idx="4">
                  <c:v> 5. Sieć Wysokociśnieniowa</c:v>
                </c:pt>
                <c:pt idx="5">
                  <c:v> 6. Sieć Mieszana</c:v>
                </c:pt>
                <c:pt idx="6">
                  <c:v> 7. Oczyszczalnia Przydomowa </c:v>
                </c:pt>
              </c:strCache>
            </c:strRef>
          </c:cat>
          <c:val>
            <c:numRef>
              <c:f>Macierz_G_SK!$L$34:$U$34</c:f>
              <c:numCache>
                <c:formatCode>0.0000</c:formatCode>
                <c:ptCount val="10"/>
                <c:pt idx="0">
                  <c:v>0.55610395351774666</c:v>
                </c:pt>
                <c:pt idx="1">
                  <c:v>7.9443421931106664E-2</c:v>
                </c:pt>
                <c:pt idx="2" formatCode="0.00%">
                  <c:v>5.0000000000000001E-3</c:v>
                </c:pt>
                <c:pt idx="3">
                  <c:v>3.9721710965553335E-4</c:v>
                </c:pt>
                <c:pt idx="4">
                  <c:v>1.0327644851043867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2-419C-98D2-E140D30AF86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6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tint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6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4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1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9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8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3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596974736"/>
        <c:axId val="607257664"/>
        <c:axId val="574943504"/>
      </c:surface3DChart>
      <c:catAx>
        <c:axId val="59697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07257664"/>
        <c:crosses val="autoZero"/>
        <c:auto val="1"/>
        <c:lblAlgn val="ctr"/>
        <c:lblOffset val="100"/>
        <c:noMultiLvlLbl val="0"/>
      </c:catAx>
      <c:valAx>
        <c:axId val="60725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96974736"/>
        <c:crosses val="autoZero"/>
        <c:crossBetween val="midCat"/>
      </c:valAx>
      <c:serAx>
        <c:axId val="574943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072576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</xdr:row>
          <xdr:rowOff>38100</xdr:rowOff>
        </xdr:from>
        <xdr:to>
          <xdr:col>10</xdr:col>
          <xdr:colOff>352425</xdr:colOff>
          <xdr:row>2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Dane według Eymontta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85725</xdr:rowOff>
        </xdr:from>
        <xdr:to>
          <xdr:col>10</xdr:col>
          <xdr:colOff>361950</xdr:colOff>
          <xdr:row>5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Dane  według Ślusarczyka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3</xdr:row>
      <xdr:rowOff>57150</xdr:rowOff>
    </xdr:from>
    <xdr:to>
      <xdr:col>23</xdr:col>
      <xdr:colOff>488775</xdr:colOff>
      <xdr:row>25</xdr:row>
      <xdr:rowOff>94800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447675</xdr:colOff>
      <xdr:row>36</xdr:row>
      <xdr:rowOff>123825</xdr:rowOff>
    </xdr:from>
    <xdr:to>
      <xdr:col>21</xdr:col>
      <xdr:colOff>85726</xdr:colOff>
      <xdr:row>39</xdr:row>
      <xdr:rowOff>46368</xdr:rowOff>
    </xdr:to>
    <xdr:grpSp>
      <xdr:nvGrpSpPr>
        <xdr:cNvPr id="5" name="Grupa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10201275" y="5953125"/>
          <a:ext cx="2686051" cy="408318"/>
          <a:chOff x="10425231" y="5784623"/>
          <a:chExt cx="941477" cy="119931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6" name="TextBox 4">
                <a:extLst>
                  <a:ext uri="{FF2B5EF4-FFF2-40B4-BE49-F238E27FC236}">
                    <a16:creationId xmlns:a16="http://schemas.microsoft.com/office/drawing/2014/main" id="{00000000-0008-0000-0400-000006000000}"/>
                  </a:ext>
                </a:extLst>
              </xdr:cNvPr>
              <xdr:cNvSpPr txBox="1">
                <a:spLocks/>
              </xdr:cNvSpPr>
            </xdr:nvSpPr>
            <xdr:spPr>
              <a:xfrm>
                <a:off x="10425231" y="5784623"/>
                <a:ext cx="534490" cy="11993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pl-PL" sz="14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𝐶𝐼</m:t>
                      </m:r>
                      <m:r>
                        <a:rPr lang="en-US" sz="140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=</m:t>
                      </m:r>
                      <m:f>
                        <m:fPr>
                          <m:ctrlPr>
                            <a:rPr lang="en-US" sz="1400" i="1">
                              <a:solidFill>
                                <a:schemeClr val="bg1"/>
                              </a:solidFill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l-PL" sz="1400" b="0" i="1">
                              <a:solidFill>
                                <a:schemeClr val="bg1"/>
                              </a:solidFill>
                              <a:latin typeface="Cambria Math" panose="02040503050406030204" pitchFamily="18" charset="0"/>
                              <a:sym typeface="Symbol" panose="05050102010706020507" pitchFamily="18" charset="2"/>
                            </a:rPr>
                            <m:t></m:t>
                          </m:r>
                          <m:r>
                            <a:rPr lang="pl-PL" sz="1400" b="0" i="1" baseline="-25000">
                              <a:solidFill>
                                <a:schemeClr val="bg1"/>
                              </a:solidFill>
                              <a:latin typeface="Cambria Math" panose="02040503050406030204" pitchFamily="18" charset="0"/>
                              <a:sym typeface="Symbol" panose="05050102010706020507" pitchFamily="18" charset="2"/>
                            </a:rPr>
                            <m:t>𝑚𝑎𝑥</m:t>
                          </m:r>
                          <m:r>
                            <a:rPr lang="pl-PL" sz="1400" b="0" i="1">
                              <a:solidFill>
                                <a:schemeClr val="bg1"/>
                              </a:solidFill>
                              <a:latin typeface="Cambria Math" panose="02040503050406030204" pitchFamily="18" charset="0"/>
                              <a:sym typeface="Symbol" panose="05050102010706020507" pitchFamily="18" charset="2"/>
                            </a:rPr>
                            <m:t>−</m:t>
                          </m:r>
                          <m:r>
                            <a:rPr lang="pl-PL" sz="1400" b="0" i="1">
                              <a:solidFill>
                                <a:schemeClr val="bg1"/>
                              </a:solidFill>
                              <a:latin typeface="Cambria Math" panose="02040503050406030204" pitchFamily="18" charset="0"/>
                              <a:sym typeface="Symbol" panose="05050102010706020507" pitchFamily="18" charset="2"/>
                            </a:rPr>
                            <m:t>𝑛</m:t>
                          </m:r>
                        </m:num>
                        <m:den>
                          <m:r>
                            <a:rPr lang="pl-PL" sz="1400" b="0" i="1">
                              <a:solidFill>
                                <a:schemeClr val="bg1"/>
                              </a:solidFill>
                              <a:latin typeface="Cambria Math" panose="02040503050406030204" pitchFamily="18" charset="0"/>
                            </a:rPr>
                            <m:t>𝑛</m:t>
                          </m:r>
                          <m:r>
                            <a:rPr lang="pl-PL" sz="1400" b="0" i="1">
                              <a:solidFill>
                                <a:schemeClr val="bg1"/>
                              </a:solidFill>
                              <a:latin typeface="Cambria Math" panose="02040503050406030204" pitchFamily="18" charset="0"/>
                            </a:rPr>
                            <m:t>−1</m:t>
                          </m:r>
                        </m:den>
                      </m:f>
                    </m:oMath>
                  </m:oMathPara>
                </a14:m>
                <a:endParaRPr lang="en-US" sz="700">
                  <a:solidFill>
                    <a:schemeClr val="bg1"/>
                  </a:solidFill>
                </a:endParaRPr>
              </a:p>
            </xdr:txBody>
          </xdr:sp>
        </mc:Choice>
        <mc:Fallback xmlns="">
          <xdr:sp macro="" textlink="">
            <xdr:nvSpPr>
              <xdr:cNvPr id="6" name="TextBox 4">
                <a:extLst>
                  <a:ext uri="{FF2B5EF4-FFF2-40B4-BE49-F238E27FC236}">
                    <a16:creationId xmlns:a16="http://schemas.microsoft.com/office/drawing/2014/main" id="{00000000-0008-0000-0400-000006000000}"/>
                  </a:ext>
                </a:extLst>
              </xdr:cNvPr>
              <xdr:cNvSpPr txBox="1">
                <a:spLocks/>
              </xdr:cNvSpPr>
            </xdr:nvSpPr>
            <xdr:spPr>
              <a:xfrm>
                <a:off x="10425231" y="5784623"/>
                <a:ext cx="534490" cy="11993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pl-PL" sz="1400" b="0" i="0">
                    <a:solidFill>
                      <a:schemeClr val="bg1"/>
                    </a:solidFill>
                    <a:latin typeface="Cambria Math" panose="02040503050406030204" pitchFamily="18" charset="0"/>
                  </a:rPr>
                  <a:t>𝐶𝐼</a:t>
                </a:r>
                <a:r>
                  <a:rPr lang="en-US" sz="1400" i="0">
                    <a:solidFill>
                      <a:schemeClr val="bg1"/>
                    </a:solidFill>
                    <a:latin typeface="Cambria Math" panose="02040503050406030204" pitchFamily="18" charset="0"/>
                  </a:rPr>
                  <a:t>=(</a:t>
                </a:r>
                <a:r>
                  <a:rPr lang="pl-PL" sz="1400" b="0" i="0">
                    <a:solidFill>
                      <a:schemeClr val="bg1"/>
                    </a:solidFill>
                    <a:latin typeface="Cambria Math" panose="02040503050406030204" pitchFamily="18" charset="0"/>
                    <a:sym typeface="Symbol" panose="05050102010706020507" pitchFamily="18" charset="2"/>
                  </a:rPr>
                  <a:t></a:t>
                </a:r>
                <a:r>
                  <a:rPr lang="pl-PL" sz="1400" b="0" i="0" baseline="-25000">
                    <a:solidFill>
                      <a:schemeClr val="bg1"/>
                    </a:solidFill>
                    <a:latin typeface="Cambria Math" panose="02040503050406030204" pitchFamily="18" charset="0"/>
                    <a:sym typeface="Symbol" panose="05050102010706020507" pitchFamily="18" charset="2"/>
                  </a:rPr>
                  <a:t>𝑚𝑎𝑥</a:t>
                </a:r>
                <a:r>
                  <a:rPr lang="pl-PL" sz="1400" b="0" i="0">
                    <a:solidFill>
                      <a:schemeClr val="bg1"/>
                    </a:solidFill>
                    <a:latin typeface="Cambria Math" panose="02040503050406030204" pitchFamily="18" charset="0"/>
                    <a:sym typeface="Symbol" panose="05050102010706020507" pitchFamily="18" charset="2"/>
                  </a:rPr>
                  <a:t>−𝑛</a:t>
                </a:r>
                <a:r>
                  <a:rPr lang="en-US" sz="1400" b="0" i="0">
                    <a:solidFill>
                      <a:schemeClr val="bg1"/>
                    </a:solidFill>
                    <a:latin typeface="Cambria Math" panose="02040503050406030204" pitchFamily="18" charset="0"/>
                    <a:sym typeface="Symbol" panose="05050102010706020507" pitchFamily="18" charset="2"/>
                  </a:rPr>
                  <a:t>)/(</a:t>
                </a:r>
                <a:r>
                  <a:rPr lang="pl-PL" sz="1400" b="0" i="0">
                    <a:solidFill>
                      <a:schemeClr val="bg1"/>
                    </a:solidFill>
                    <a:latin typeface="Cambria Math" panose="02040503050406030204" pitchFamily="18" charset="0"/>
                  </a:rPr>
                  <a:t>𝑛−1</a:t>
                </a:r>
                <a:r>
                  <a:rPr lang="en-US" sz="1400" b="0" i="0">
                    <a:solidFill>
                      <a:schemeClr val="bg1"/>
                    </a:solidFill>
                    <a:latin typeface="Cambria Math" panose="02040503050406030204" pitchFamily="18" charset="0"/>
                  </a:rPr>
                  <a:t>)</a:t>
                </a:r>
                <a:endParaRPr lang="en-US" sz="700">
                  <a:solidFill>
                    <a:schemeClr val="bg1"/>
                  </a:solidFill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7" name="TextBox 4">
                <a:extLst>
                  <a:ext uri="{FF2B5EF4-FFF2-40B4-BE49-F238E27FC236}">
                    <a16:creationId xmlns:a16="http://schemas.microsoft.com/office/drawing/2014/main" id="{00000000-0008-0000-0400-000007000000}"/>
                  </a:ext>
                </a:extLst>
              </xdr:cNvPr>
              <xdr:cNvSpPr txBox="1">
                <a:spLocks/>
              </xdr:cNvSpPr>
            </xdr:nvSpPr>
            <xdr:spPr>
              <a:xfrm>
                <a:off x="11018646" y="5784961"/>
                <a:ext cx="348062" cy="11846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pl-PL" sz="14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𝐶𝑅</m:t>
                      </m:r>
                      <m:r>
                        <a:rPr lang="en-US" sz="140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=</m:t>
                      </m:r>
                      <m:f>
                        <m:fPr>
                          <m:ctrlPr>
                            <a:rPr lang="en-US" sz="1400" i="1">
                              <a:solidFill>
                                <a:schemeClr val="bg1"/>
                              </a:solidFill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l-PL" sz="1400" b="0" i="1">
                              <a:solidFill>
                                <a:schemeClr val="bg1"/>
                              </a:solidFill>
                              <a:latin typeface="Cambria Math" panose="02040503050406030204" pitchFamily="18" charset="0"/>
                            </a:rPr>
                            <m:t>𝐶𝐼</m:t>
                          </m:r>
                        </m:num>
                        <m:den>
                          <m:r>
                            <a:rPr lang="pl-PL" sz="1400" b="0" i="1">
                              <a:solidFill>
                                <a:schemeClr val="bg1"/>
                              </a:solidFill>
                              <a:latin typeface="Cambria Math" panose="02040503050406030204" pitchFamily="18" charset="0"/>
                            </a:rPr>
                            <m:t>𝑅𝐼</m:t>
                          </m:r>
                        </m:den>
                      </m:f>
                    </m:oMath>
                  </m:oMathPara>
                </a14:m>
                <a:endParaRPr lang="en-US" sz="700">
                  <a:solidFill>
                    <a:schemeClr val="bg1"/>
                  </a:solidFill>
                </a:endParaRPr>
              </a:p>
            </xdr:txBody>
          </xdr:sp>
        </mc:Choice>
        <mc:Fallback xmlns="">
          <xdr:sp macro="" textlink="">
            <xdr:nvSpPr>
              <xdr:cNvPr id="7" name="TextBox 4">
                <a:extLst>
                  <a:ext uri="{FF2B5EF4-FFF2-40B4-BE49-F238E27FC236}">
                    <a16:creationId xmlns:a16="http://schemas.microsoft.com/office/drawing/2014/main" id="{00000000-0008-0000-0400-000007000000}"/>
                  </a:ext>
                </a:extLst>
              </xdr:cNvPr>
              <xdr:cNvSpPr txBox="1">
                <a:spLocks/>
              </xdr:cNvSpPr>
            </xdr:nvSpPr>
            <xdr:spPr>
              <a:xfrm>
                <a:off x="11018646" y="5784961"/>
                <a:ext cx="348062" cy="118462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pl-PL" sz="1400" b="0" i="0">
                    <a:solidFill>
                      <a:schemeClr val="bg1"/>
                    </a:solidFill>
                    <a:latin typeface="Cambria Math" panose="02040503050406030204" pitchFamily="18" charset="0"/>
                  </a:rPr>
                  <a:t>𝐶𝑅</a:t>
                </a:r>
                <a:r>
                  <a:rPr lang="en-US" sz="1400" i="0">
                    <a:solidFill>
                      <a:schemeClr val="bg1"/>
                    </a:solidFill>
                    <a:latin typeface="Cambria Math" panose="02040503050406030204" pitchFamily="18" charset="0"/>
                  </a:rPr>
                  <a:t>=</a:t>
                </a:r>
                <a:r>
                  <a:rPr lang="pl-PL" sz="1400" b="0" i="0">
                    <a:solidFill>
                      <a:schemeClr val="bg1"/>
                    </a:solidFill>
                    <a:latin typeface="Cambria Math" panose="02040503050406030204" pitchFamily="18" charset="0"/>
                  </a:rPr>
                  <a:t>𝐶𝐼</a:t>
                </a:r>
                <a:r>
                  <a:rPr lang="en-US" sz="1400" b="0" i="0">
                    <a:solidFill>
                      <a:schemeClr val="bg1"/>
                    </a:solidFill>
                    <a:latin typeface="Cambria Math" panose="02040503050406030204" pitchFamily="18" charset="0"/>
                  </a:rPr>
                  <a:t>/</a:t>
                </a:r>
                <a:r>
                  <a:rPr lang="pl-PL" sz="1400" b="0" i="0">
                    <a:solidFill>
                      <a:schemeClr val="bg1"/>
                    </a:solidFill>
                    <a:latin typeface="Cambria Math" panose="02040503050406030204" pitchFamily="18" charset="0"/>
                  </a:rPr>
                  <a:t>𝑅𝐼</a:t>
                </a:r>
                <a:endParaRPr lang="en-US" sz="700">
                  <a:solidFill>
                    <a:schemeClr val="bg1"/>
                  </a:solidFill>
                </a:endParaRPr>
              </a:p>
            </xdr:txBody>
          </xdr:sp>
        </mc:Fallback>
      </mc:AlternateContent>
    </xdr:grpSp>
    <xdr:clientData/>
  </xdr:twoCellAnchor>
  <xdr:twoCellAnchor>
    <xdr:from>
      <xdr:col>0</xdr:col>
      <xdr:colOff>381000</xdr:colOff>
      <xdr:row>2</xdr:row>
      <xdr:rowOff>152400</xdr:rowOff>
    </xdr:from>
    <xdr:to>
      <xdr:col>11</xdr:col>
      <xdr:colOff>155400</xdr:colOff>
      <xdr:row>25</xdr:row>
      <xdr:rowOff>28125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19049</xdr:colOff>
      <xdr:row>29</xdr:row>
      <xdr:rowOff>114299</xdr:rowOff>
    </xdr:from>
    <xdr:to>
      <xdr:col>17</xdr:col>
      <xdr:colOff>523874</xdr:colOff>
      <xdr:row>52</xdr:row>
      <xdr:rowOff>38099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AEEBF-A0DE-4376-83E2-041632251BB4}">
  <sheetPr codeName="Arkusz4"/>
  <dimension ref="C4:AE75"/>
  <sheetViews>
    <sheetView showGridLines="0" topLeftCell="A33" workbookViewId="0">
      <selection activeCell="AD22" sqref="AD22"/>
    </sheetView>
  </sheetViews>
  <sheetFormatPr defaultRowHeight="12.75" x14ac:dyDescent="0.2"/>
  <cols>
    <col min="4" max="4" width="16.42578125" bestFit="1" customWidth="1"/>
    <col min="5" max="13" width="2.28515625" bestFit="1" customWidth="1"/>
    <col min="14" max="29" width="3.140625" bestFit="1" customWidth="1"/>
    <col min="30" max="30" width="19" customWidth="1"/>
  </cols>
  <sheetData>
    <row r="4" spans="3:31" ht="13.5" thickBot="1" x14ac:dyDescent="0.25"/>
    <row r="5" spans="3:31" ht="15" x14ac:dyDescent="0.25">
      <c r="C5" s="174" t="s">
        <v>0</v>
      </c>
      <c r="D5" s="177" t="s">
        <v>1</v>
      </c>
      <c r="E5" s="179" t="s">
        <v>2</v>
      </c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1"/>
      <c r="AD5" s="177" t="s">
        <v>1</v>
      </c>
      <c r="AE5" s="174" t="s">
        <v>0</v>
      </c>
    </row>
    <row r="6" spans="3:31" ht="51" customHeight="1" thickBot="1" x14ac:dyDescent="0.25">
      <c r="C6" s="175"/>
      <c r="D6" s="178"/>
      <c r="E6" s="182" t="s">
        <v>3</v>
      </c>
      <c r="F6" s="183"/>
      <c r="G6" s="184" t="s">
        <v>4</v>
      </c>
      <c r="H6" s="184"/>
      <c r="I6" s="184"/>
      <c r="J6" s="184" t="s">
        <v>5</v>
      </c>
      <c r="K6" s="184"/>
      <c r="L6" s="184"/>
      <c r="M6" s="184" t="s">
        <v>6</v>
      </c>
      <c r="N6" s="184"/>
      <c r="O6" s="184"/>
      <c r="P6" s="184" t="s">
        <v>7</v>
      </c>
      <c r="Q6" s="184"/>
      <c r="R6" s="184"/>
      <c r="S6" s="184" t="s">
        <v>6</v>
      </c>
      <c r="T6" s="184"/>
      <c r="U6" s="184"/>
      <c r="V6" s="184" t="s">
        <v>5</v>
      </c>
      <c r="W6" s="184"/>
      <c r="X6" s="184"/>
      <c r="Y6" s="185" t="s">
        <v>4</v>
      </c>
      <c r="Z6" s="186"/>
      <c r="AA6" s="187"/>
      <c r="AB6" s="184" t="s">
        <v>3</v>
      </c>
      <c r="AC6" s="185"/>
      <c r="AD6" s="178"/>
      <c r="AE6" s="175"/>
    </row>
    <row r="7" spans="3:31" x14ac:dyDescent="0.2">
      <c r="C7" s="175"/>
      <c r="D7" s="3"/>
      <c r="E7" s="4" t="s">
        <v>8</v>
      </c>
      <c r="F7" s="5" t="s">
        <v>9</v>
      </c>
      <c r="G7" s="5" t="s">
        <v>10</v>
      </c>
      <c r="H7" s="5" t="s">
        <v>11</v>
      </c>
      <c r="I7" s="5" t="s">
        <v>12</v>
      </c>
      <c r="J7" s="5" t="s">
        <v>13</v>
      </c>
      <c r="K7" s="5" t="s">
        <v>14</v>
      </c>
      <c r="L7" s="5" t="s">
        <v>15</v>
      </c>
      <c r="M7" s="5" t="s">
        <v>16</v>
      </c>
      <c r="N7" s="5" t="s">
        <v>17</v>
      </c>
      <c r="O7" s="5" t="s">
        <v>18</v>
      </c>
      <c r="P7" s="5" t="s">
        <v>19</v>
      </c>
      <c r="Q7" s="5" t="s">
        <v>20</v>
      </c>
      <c r="R7" s="5" t="s">
        <v>21</v>
      </c>
      <c r="S7" s="5" t="s">
        <v>22</v>
      </c>
      <c r="T7" s="5" t="s">
        <v>23</v>
      </c>
      <c r="U7" s="5" t="s">
        <v>24</v>
      </c>
      <c r="V7" s="5" t="s">
        <v>25</v>
      </c>
      <c r="W7" s="5" t="s">
        <v>26</v>
      </c>
      <c r="X7" s="5" t="s">
        <v>27</v>
      </c>
      <c r="Y7" s="5" t="s">
        <v>28</v>
      </c>
      <c r="Z7" s="5" t="s">
        <v>29</v>
      </c>
      <c r="AA7" s="5" t="s">
        <v>30</v>
      </c>
      <c r="AB7" s="5" t="s">
        <v>31</v>
      </c>
      <c r="AC7" s="6" t="s">
        <v>32</v>
      </c>
      <c r="AD7" s="3"/>
      <c r="AE7" s="175"/>
    </row>
    <row r="8" spans="3:31" ht="15.75" thickBot="1" x14ac:dyDescent="0.3">
      <c r="C8" s="176"/>
      <c r="D8" s="7" t="s">
        <v>33</v>
      </c>
      <c r="E8" s="8">
        <v>9</v>
      </c>
      <c r="F8" s="188">
        <v>8</v>
      </c>
      <c r="G8" s="188"/>
      <c r="H8" s="9">
        <v>7</v>
      </c>
      <c r="I8" s="188">
        <v>6</v>
      </c>
      <c r="J8" s="188"/>
      <c r="K8" s="9">
        <v>5</v>
      </c>
      <c r="L8" s="188">
        <v>4</v>
      </c>
      <c r="M8" s="188"/>
      <c r="N8" s="9">
        <v>3</v>
      </c>
      <c r="O8" s="188">
        <v>2</v>
      </c>
      <c r="P8" s="188"/>
      <c r="Q8" s="10">
        <v>1</v>
      </c>
      <c r="R8" s="188">
        <v>2</v>
      </c>
      <c r="S8" s="188"/>
      <c r="T8" s="9">
        <v>3</v>
      </c>
      <c r="U8" s="188">
        <v>4</v>
      </c>
      <c r="V8" s="188"/>
      <c r="W8" s="9">
        <v>5</v>
      </c>
      <c r="X8" s="188">
        <v>6</v>
      </c>
      <c r="Y8" s="188"/>
      <c r="Z8" s="9">
        <v>7</v>
      </c>
      <c r="AA8" s="188">
        <v>8</v>
      </c>
      <c r="AB8" s="188"/>
      <c r="AC8" s="11">
        <v>9</v>
      </c>
      <c r="AD8" s="7" t="s">
        <v>33</v>
      </c>
      <c r="AE8" s="176"/>
    </row>
    <row r="9" spans="3:31" ht="30" x14ac:dyDescent="0.2">
      <c r="C9" s="12" t="s">
        <v>8</v>
      </c>
      <c r="D9" s="13" t="s">
        <v>34</v>
      </c>
      <c r="E9" s="14"/>
      <c r="F9" s="189"/>
      <c r="G9" s="190"/>
      <c r="H9" s="15"/>
      <c r="I9" s="189"/>
      <c r="J9" s="190"/>
      <c r="K9" s="15" t="s">
        <v>35</v>
      </c>
      <c r="L9" s="189"/>
      <c r="M9" s="190"/>
      <c r="N9" s="15"/>
      <c r="O9" s="189"/>
      <c r="P9" s="190"/>
      <c r="Q9" s="14"/>
      <c r="R9" s="189"/>
      <c r="S9" s="190"/>
      <c r="T9" s="15"/>
      <c r="U9" s="189"/>
      <c r="V9" s="190"/>
      <c r="W9" s="15"/>
      <c r="X9" s="189"/>
      <c r="Y9" s="190"/>
      <c r="Z9" s="15"/>
      <c r="AA9" s="189"/>
      <c r="AB9" s="190"/>
      <c r="AC9" s="14"/>
      <c r="AD9" s="16" t="s">
        <v>36</v>
      </c>
      <c r="AE9" s="17" t="s">
        <v>8</v>
      </c>
    </row>
    <row r="10" spans="3:31" ht="15" x14ac:dyDescent="0.2">
      <c r="C10" s="18" t="s">
        <v>9</v>
      </c>
      <c r="D10" s="13" t="s">
        <v>34</v>
      </c>
      <c r="E10" s="19"/>
      <c r="F10" s="191"/>
      <c r="G10" s="192"/>
      <c r="H10" s="20"/>
      <c r="I10" s="191"/>
      <c r="J10" s="192"/>
      <c r="K10" s="20"/>
      <c r="L10" s="191"/>
      <c r="M10" s="192"/>
      <c r="N10" s="20"/>
      <c r="O10" s="191"/>
      <c r="P10" s="192"/>
      <c r="Q10" s="19"/>
      <c r="R10" s="191"/>
      <c r="S10" s="192"/>
      <c r="T10" s="20"/>
      <c r="U10" s="191"/>
      <c r="V10" s="192"/>
      <c r="W10" s="20" t="s">
        <v>35</v>
      </c>
      <c r="X10" s="191"/>
      <c r="Y10" s="192"/>
      <c r="Z10" s="20"/>
      <c r="AA10" s="191"/>
      <c r="AB10" s="192"/>
      <c r="AC10" s="19"/>
      <c r="AD10" s="21" t="s">
        <v>37</v>
      </c>
      <c r="AE10" s="22" t="s">
        <v>9</v>
      </c>
    </row>
    <row r="11" spans="3:31" ht="15" x14ac:dyDescent="0.2">
      <c r="C11" s="18" t="s">
        <v>10</v>
      </c>
      <c r="D11" s="13" t="s">
        <v>34</v>
      </c>
      <c r="E11" s="19"/>
      <c r="F11" s="191"/>
      <c r="G11" s="192"/>
      <c r="H11" s="20"/>
      <c r="I11" s="191"/>
      <c r="J11" s="192"/>
      <c r="K11" s="20"/>
      <c r="L11" s="191"/>
      <c r="M11" s="192"/>
      <c r="N11" s="20" t="s">
        <v>35</v>
      </c>
      <c r="O11" s="191"/>
      <c r="P11" s="192"/>
      <c r="Q11" s="19"/>
      <c r="R11" s="191"/>
      <c r="S11" s="192"/>
      <c r="T11" s="20"/>
      <c r="U11" s="191"/>
      <c r="V11" s="192"/>
      <c r="W11" s="20"/>
      <c r="X11" s="191"/>
      <c r="Y11" s="192"/>
      <c r="Z11" s="20"/>
      <c r="AA11" s="191"/>
      <c r="AB11" s="192"/>
      <c r="AC11" s="19"/>
      <c r="AD11" s="21" t="s">
        <v>38</v>
      </c>
      <c r="AE11" s="22" t="s">
        <v>10</v>
      </c>
    </row>
    <row r="12" spans="3:31" ht="15" x14ac:dyDescent="0.2">
      <c r="C12" s="18" t="s">
        <v>11</v>
      </c>
      <c r="D12" s="13" t="s">
        <v>34</v>
      </c>
      <c r="E12" s="23"/>
      <c r="F12" s="193"/>
      <c r="G12" s="193"/>
      <c r="H12" s="24"/>
      <c r="I12" s="193"/>
      <c r="J12" s="193"/>
      <c r="K12" s="24"/>
      <c r="L12" s="193"/>
      <c r="M12" s="193"/>
      <c r="N12" s="24"/>
      <c r="O12" s="193"/>
      <c r="P12" s="193"/>
      <c r="Q12" s="23"/>
      <c r="R12" s="193"/>
      <c r="S12" s="193"/>
      <c r="T12" s="24" t="s">
        <v>35</v>
      </c>
      <c r="U12" s="193"/>
      <c r="V12" s="193"/>
      <c r="W12" s="24"/>
      <c r="X12" s="193"/>
      <c r="Y12" s="193"/>
      <c r="Z12" s="24"/>
      <c r="AA12" s="193"/>
      <c r="AB12" s="193"/>
      <c r="AC12" s="23"/>
      <c r="AD12" s="25" t="s">
        <v>39</v>
      </c>
      <c r="AE12" s="22" t="s">
        <v>11</v>
      </c>
    </row>
    <row r="13" spans="3:31" ht="15" x14ac:dyDescent="0.2">
      <c r="C13" s="18" t="s">
        <v>12</v>
      </c>
      <c r="D13" s="13" t="s">
        <v>34</v>
      </c>
      <c r="E13" s="23"/>
      <c r="F13" s="193"/>
      <c r="G13" s="193"/>
      <c r="H13" s="24"/>
      <c r="I13" s="193"/>
      <c r="J13" s="193"/>
      <c r="K13" s="24"/>
      <c r="L13" s="193"/>
      <c r="M13" s="193"/>
      <c r="N13" s="24" t="s">
        <v>35</v>
      </c>
      <c r="O13" s="193"/>
      <c r="P13" s="193"/>
      <c r="Q13" s="26"/>
      <c r="R13" s="193"/>
      <c r="S13" s="193"/>
      <c r="T13" s="24"/>
      <c r="U13" s="193"/>
      <c r="V13" s="193"/>
      <c r="W13" s="24"/>
      <c r="X13" s="193"/>
      <c r="Y13" s="193"/>
      <c r="Z13" s="24"/>
      <c r="AA13" s="193"/>
      <c r="AB13" s="193"/>
      <c r="AC13" s="23"/>
      <c r="AD13" s="25" t="s">
        <v>40</v>
      </c>
      <c r="AE13" s="22" t="s">
        <v>12</v>
      </c>
    </row>
    <row r="14" spans="3:31" ht="15.75" thickBot="1" x14ac:dyDescent="0.25">
      <c r="C14" s="27" t="s">
        <v>13</v>
      </c>
      <c r="D14" s="28" t="s">
        <v>34</v>
      </c>
      <c r="E14" s="29"/>
      <c r="F14" s="194"/>
      <c r="G14" s="194"/>
      <c r="H14" s="30" t="s">
        <v>35</v>
      </c>
      <c r="I14" s="194"/>
      <c r="J14" s="194"/>
      <c r="K14" s="30"/>
      <c r="L14" s="194"/>
      <c r="M14" s="194"/>
      <c r="N14" s="30"/>
      <c r="O14" s="194"/>
      <c r="P14" s="194"/>
      <c r="Q14" s="31"/>
      <c r="R14" s="194"/>
      <c r="S14" s="194"/>
      <c r="T14" s="30"/>
      <c r="U14" s="194"/>
      <c r="V14" s="194"/>
      <c r="W14" s="30"/>
      <c r="X14" s="194"/>
      <c r="Y14" s="194"/>
      <c r="Z14" s="30"/>
      <c r="AA14" s="194"/>
      <c r="AB14" s="194"/>
      <c r="AC14" s="29"/>
      <c r="AD14" s="32" t="s">
        <v>41</v>
      </c>
      <c r="AE14" s="33" t="s">
        <v>13</v>
      </c>
    </row>
    <row r="17" spans="3:31" ht="13.5" thickBot="1" x14ac:dyDescent="0.25"/>
    <row r="18" spans="3:31" ht="100.5" customHeight="1" thickBot="1" x14ac:dyDescent="0.25">
      <c r="C18" s="34" t="s">
        <v>0</v>
      </c>
      <c r="D18" s="35" t="s">
        <v>42</v>
      </c>
      <c r="E18" s="195" t="s">
        <v>3</v>
      </c>
      <c r="F18" s="196"/>
      <c r="G18" s="196" t="s">
        <v>4</v>
      </c>
      <c r="H18" s="196"/>
      <c r="I18" s="196"/>
      <c r="J18" s="196" t="s">
        <v>5</v>
      </c>
      <c r="K18" s="196"/>
      <c r="L18" s="196"/>
      <c r="M18" s="196" t="s">
        <v>6</v>
      </c>
      <c r="N18" s="196"/>
      <c r="O18" s="196"/>
      <c r="P18" s="196" t="s">
        <v>7</v>
      </c>
      <c r="Q18" s="196"/>
      <c r="R18" s="196"/>
      <c r="S18" s="196" t="s">
        <v>6</v>
      </c>
      <c r="T18" s="196"/>
      <c r="U18" s="196"/>
      <c r="V18" s="196" t="s">
        <v>5</v>
      </c>
      <c r="W18" s="196"/>
      <c r="X18" s="196"/>
      <c r="Y18" s="197" t="s">
        <v>4</v>
      </c>
      <c r="Z18" s="198"/>
      <c r="AA18" s="195"/>
      <c r="AB18" s="196" t="s">
        <v>3</v>
      </c>
      <c r="AC18" s="197"/>
      <c r="AD18" s="35" t="s">
        <v>42</v>
      </c>
      <c r="AE18" s="36" t="s">
        <v>0</v>
      </c>
    </row>
    <row r="19" spans="3:31" ht="15.75" thickBot="1" x14ac:dyDescent="0.3">
      <c r="C19" s="12" t="s">
        <v>8</v>
      </c>
      <c r="D19" s="7" t="s">
        <v>33</v>
      </c>
      <c r="E19" s="8">
        <v>9</v>
      </c>
      <c r="F19" s="188">
        <v>8</v>
      </c>
      <c r="G19" s="188"/>
      <c r="H19" s="9">
        <v>7</v>
      </c>
      <c r="I19" s="188">
        <v>6</v>
      </c>
      <c r="J19" s="188"/>
      <c r="K19" s="9">
        <v>5</v>
      </c>
      <c r="L19" s="188">
        <v>4</v>
      </c>
      <c r="M19" s="188"/>
      <c r="N19" s="9">
        <v>3</v>
      </c>
      <c r="O19" s="188">
        <v>2</v>
      </c>
      <c r="P19" s="188"/>
      <c r="Q19" s="10">
        <v>1</v>
      </c>
      <c r="R19" s="188">
        <v>2</v>
      </c>
      <c r="S19" s="188"/>
      <c r="T19" s="9">
        <v>3</v>
      </c>
      <c r="U19" s="188">
        <v>4</v>
      </c>
      <c r="V19" s="188"/>
      <c r="W19" s="9">
        <v>5</v>
      </c>
      <c r="X19" s="188">
        <v>6</v>
      </c>
      <c r="Y19" s="188"/>
      <c r="Z19" s="9">
        <v>7</v>
      </c>
      <c r="AA19" s="188">
        <v>8</v>
      </c>
      <c r="AB19" s="188"/>
      <c r="AC19" s="11">
        <v>9</v>
      </c>
      <c r="AD19" s="7" t="s">
        <v>33</v>
      </c>
      <c r="AE19" s="17" t="s">
        <v>8</v>
      </c>
    </row>
    <row r="20" spans="3:31" ht="30" x14ac:dyDescent="0.2">
      <c r="C20" s="18" t="s">
        <v>9</v>
      </c>
      <c r="D20" s="16" t="s">
        <v>36</v>
      </c>
      <c r="E20" s="19"/>
      <c r="F20" s="191"/>
      <c r="G20" s="192"/>
      <c r="H20" s="20"/>
      <c r="I20" s="191"/>
      <c r="J20" s="192"/>
      <c r="K20" s="20"/>
      <c r="L20" s="191"/>
      <c r="M20" s="192"/>
      <c r="N20" s="20"/>
      <c r="O20" s="191"/>
      <c r="P20" s="192"/>
      <c r="Q20" s="19" t="s">
        <v>35</v>
      </c>
      <c r="R20" s="191"/>
      <c r="S20" s="192"/>
      <c r="T20" s="20"/>
      <c r="U20" s="191"/>
      <c r="V20" s="192"/>
      <c r="W20" s="20"/>
      <c r="X20" s="191"/>
      <c r="Y20" s="192"/>
      <c r="Z20" s="20"/>
      <c r="AA20" s="191"/>
      <c r="AB20" s="192"/>
      <c r="AC20" s="19"/>
      <c r="AD20" s="21" t="s">
        <v>34</v>
      </c>
      <c r="AE20" s="22" t="s">
        <v>9</v>
      </c>
    </row>
    <row r="21" spans="3:31" ht="30" x14ac:dyDescent="0.2">
      <c r="C21" s="18" t="s">
        <v>10</v>
      </c>
      <c r="D21" s="16" t="s">
        <v>36</v>
      </c>
      <c r="E21" s="19"/>
      <c r="F21" s="191"/>
      <c r="G21" s="192"/>
      <c r="H21" s="20"/>
      <c r="I21" s="191"/>
      <c r="J21" s="192"/>
      <c r="K21" s="20"/>
      <c r="L21" s="191"/>
      <c r="M21" s="192"/>
      <c r="N21" s="20"/>
      <c r="O21" s="191"/>
      <c r="P21" s="192"/>
      <c r="Q21" s="19"/>
      <c r="R21" s="191"/>
      <c r="S21" s="192"/>
      <c r="T21" s="20" t="s">
        <v>35</v>
      </c>
      <c r="U21" s="191"/>
      <c r="V21" s="192"/>
      <c r="W21" s="20"/>
      <c r="X21" s="191"/>
      <c r="Y21" s="192"/>
      <c r="Z21" s="20"/>
      <c r="AA21" s="191"/>
      <c r="AB21" s="192"/>
      <c r="AC21" s="19"/>
      <c r="AD21" s="21" t="s">
        <v>38</v>
      </c>
      <c r="AE21" s="22" t="s">
        <v>10</v>
      </c>
    </row>
    <row r="22" spans="3:31" ht="30" x14ac:dyDescent="0.2">
      <c r="C22" s="18" t="s">
        <v>11</v>
      </c>
      <c r="D22" s="16" t="s">
        <v>36</v>
      </c>
      <c r="E22" s="23"/>
      <c r="F22" s="193"/>
      <c r="G22" s="193"/>
      <c r="H22" s="24"/>
      <c r="I22" s="193"/>
      <c r="J22" s="193"/>
      <c r="K22" s="24"/>
      <c r="L22" s="193"/>
      <c r="M22" s="193"/>
      <c r="N22" s="24"/>
      <c r="O22" s="193"/>
      <c r="P22" s="193"/>
      <c r="Q22" s="23"/>
      <c r="R22" s="193"/>
      <c r="S22" s="193"/>
      <c r="T22" s="24"/>
      <c r="U22" s="193"/>
      <c r="V22" s="193"/>
      <c r="W22" s="24" t="s">
        <v>35</v>
      </c>
      <c r="X22" s="193"/>
      <c r="Y22" s="193"/>
      <c r="Z22" s="24"/>
      <c r="AA22" s="193"/>
      <c r="AB22" s="193"/>
      <c r="AC22" s="23"/>
      <c r="AD22" s="25" t="s">
        <v>39</v>
      </c>
      <c r="AE22" s="22" t="s">
        <v>11</v>
      </c>
    </row>
    <row r="23" spans="3:31" ht="30" x14ac:dyDescent="0.2">
      <c r="C23" s="18" t="s">
        <v>12</v>
      </c>
      <c r="D23" s="16" t="s">
        <v>36</v>
      </c>
      <c r="E23" s="23"/>
      <c r="F23" s="193"/>
      <c r="G23" s="193"/>
      <c r="H23" s="24"/>
      <c r="I23" s="193"/>
      <c r="J23" s="193"/>
      <c r="K23" s="24"/>
      <c r="L23" s="193"/>
      <c r="M23" s="193"/>
      <c r="N23" s="24" t="s">
        <v>35</v>
      </c>
      <c r="O23" s="193"/>
      <c r="P23" s="193"/>
      <c r="Q23" s="26"/>
      <c r="R23" s="193"/>
      <c r="S23" s="193"/>
      <c r="T23" s="24"/>
      <c r="U23" s="193"/>
      <c r="V23" s="193"/>
      <c r="W23" s="24"/>
      <c r="X23" s="193"/>
      <c r="Y23" s="193"/>
      <c r="Z23" s="24"/>
      <c r="AA23" s="193"/>
      <c r="AB23" s="193"/>
      <c r="AC23" s="23"/>
      <c r="AD23" s="25" t="s">
        <v>40</v>
      </c>
      <c r="AE23" s="22" t="s">
        <v>12</v>
      </c>
    </row>
    <row r="24" spans="3:31" ht="30.75" thickBot="1" x14ac:dyDescent="0.25">
      <c r="C24" s="27" t="s">
        <v>13</v>
      </c>
      <c r="D24" s="37" t="s">
        <v>36</v>
      </c>
      <c r="E24" s="29"/>
      <c r="F24" s="194"/>
      <c r="G24" s="194"/>
      <c r="H24" s="30" t="s">
        <v>35</v>
      </c>
      <c r="I24" s="194"/>
      <c r="J24" s="194"/>
      <c r="K24" s="30"/>
      <c r="L24" s="194"/>
      <c r="M24" s="194"/>
      <c r="N24" s="30"/>
      <c r="O24" s="194"/>
      <c r="P24" s="194"/>
      <c r="Q24" s="31"/>
      <c r="R24" s="194"/>
      <c r="S24" s="194"/>
      <c r="T24" s="30"/>
      <c r="U24" s="194"/>
      <c r="V24" s="194"/>
      <c r="W24" s="30"/>
      <c r="X24" s="194"/>
      <c r="Y24" s="194"/>
      <c r="Z24" s="30"/>
      <c r="AA24" s="194"/>
      <c r="AB24" s="194"/>
      <c r="AC24" s="29"/>
      <c r="AD24" s="32" t="s">
        <v>41</v>
      </c>
      <c r="AE24" s="33" t="s">
        <v>13</v>
      </c>
    </row>
    <row r="26" spans="3:31" ht="13.5" thickBot="1" x14ac:dyDescent="0.25"/>
    <row r="27" spans="3:31" ht="15.75" thickBot="1" x14ac:dyDescent="0.25">
      <c r="C27" s="34" t="s">
        <v>0</v>
      </c>
      <c r="D27" s="35" t="s">
        <v>42</v>
      </c>
      <c r="E27" s="195" t="s">
        <v>3</v>
      </c>
      <c r="F27" s="196"/>
      <c r="G27" s="196" t="s">
        <v>4</v>
      </c>
      <c r="H27" s="196"/>
      <c r="I27" s="196"/>
      <c r="J27" s="196" t="s">
        <v>5</v>
      </c>
      <c r="K27" s="196"/>
      <c r="L27" s="196"/>
      <c r="M27" s="196" t="s">
        <v>6</v>
      </c>
      <c r="N27" s="196"/>
      <c r="O27" s="196"/>
      <c r="P27" s="196" t="s">
        <v>7</v>
      </c>
      <c r="Q27" s="196"/>
      <c r="R27" s="196"/>
      <c r="S27" s="196" t="s">
        <v>6</v>
      </c>
      <c r="T27" s="196"/>
      <c r="U27" s="196"/>
      <c r="V27" s="196" t="s">
        <v>5</v>
      </c>
      <c r="W27" s="196"/>
      <c r="X27" s="196"/>
      <c r="Y27" s="197" t="s">
        <v>4</v>
      </c>
      <c r="Z27" s="198"/>
      <c r="AA27" s="195"/>
      <c r="AB27" s="196" t="s">
        <v>3</v>
      </c>
      <c r="AC27" s="197"/>
      <c r="AD27" s="38" t="s">
        <v>42</v>
      </c>
      <c r="AE27" s="39" t="s">
        <v>0</v>
      </c>
    </row>
    <row r="28" spans="3:31" ht="15.75" thickBot="1" x14ac:dyDescent="0.3">
      <c r="C28" s="12" t="s">
        <v>8</v>
      </c>
      <c r="D28" s="7" t="s">
        <v>33</v>
      </c>
      <c r="E28" s="8">
        <v>9</v>
      </c>
      <c r="F28" s="188">
        <v>8</v>
      </c>
      <c r="G28" s="188"/>
      <c r="H28" s="9">
        <v>7</v>
      </c>
      <c r="I28" s="188">
        <v>6</v>
      </c>
      <c r="J28" s="188"/>
      <c r="K28" s="9">
        <v>5</v>
      </c>
      <c r="L28" s="188">
        <v>4</v>
      </c>
      <c r="M28" s="188"/>
      <c r="N28" s="9">
        <v>3</v>
      </c>
      <c r="O28" s="188">
        <v>2</v>
      </c>
      <c r="P28" s="188"/>
      <c r="Q28" s="10">
        <v>1</v>
      </c>
      <c r="R28" s="188">
        <v>2</v>
      </c>
      <c r="S28" s="188"/>
      <c r="T28" s="9">
        <v>3</v>
      </c>
      <c r="U28" s="188">
        <v>4</v>
      </c>
      <c r="V28" s="188"/>
      <c r="W28" s="9">
        <v>5</v>
      </c>
      <c r="X28" s="188">
        <v>6</v>
      </c>
      <c r="Y28" s="188"/>
      <c r="Z28" s="9">
        <v>7</v>
      </c>
      <c r="AA28" s="188">
        <v>8</v>
      </c>
      <c r="AB28" s="188"/>
      <c r="AC28" s="11">
        <v>9</v>
      </c>
      <c r="AD28" s="7" t="s">
        <v>33</v>
      </c>
      <c r="AE28" s="40" t="s">
        <v>8</v>
      </c>
    </row>
    <row r="29" spans="3:31" ht="15" x14ac:dyDescent="0.2">
      <c r="C29" s="18" t="s">
        <v>9</v>
      </c>
      <c r="D29" s="21" t="s">
        <v>37</v>
      </c>
      <c r="E29" s="19"/>
      <c r="F29" s="191"/>
      <c r="G29" s="192"/>
      <c r="H29" s="20"/>
      <c r="I29" s="191"/>
      <c r="J29" s="192"/>
      <c r="K29" s="20" t="s">
        <v>35</v>
      </c>
      <c r="L29" s="191"/>
      <c r="M29" s="192"/>
      <c r="N29" s="20"/>
      <c r="O29" s="191"/>
      <c r="P29" s="192"/>
      <c r="Q29" s="19"/>
      <c r="R29" s="191"/>
      <c r="S29" s="192"/>
      <c r="T29" s="20"/>
      <c r="U29" s="191"/>
      <c r="V29" s="192"/>
      <c r="W29" s="20"/>
      <c r="X29" s="191"/>
      <c r="Y29" s="192"/>
      <c r="Z29" s="20"/>
      <c r="AA29" s="191"/>
      <c r="AB29" s="192"/>
      <c r="AC29" s="19"/>
      <c r="AD29" s="41" t="s">
        <v>34</v>
      </c>
      <c r="AE29" s="42" t="s">
        <v>9</v>
      </c>
    </row>
    <row r="30" spans="3:31" ht="15" x14ac:dyDescent="0.2">
      <c r="C30" s="18" t="s">
        <v>10</v>
      </c>
      <c r="D30" s="21" t="s">
        <v>37</v>
      </c>
      <c r="E30" s="19"/>
      <c r="F30" s="191"/>
      <c r="G30" s="192"/>
      <c r="H30" s="20" t="s">
        <v>35</v>
      </c>
      <c r="I30" s="191"/>
      <c r="J30" s="192"/>
      <c r="K30" s="20"/>
      <c r="L30" s="191"/>
      <c r="M30" s="192"/>
      <c r="N30" s="20"/>
      <c r="O30" s="191"/>
      <c r="P30" s="192"/>
      <c r="Q30" s="19"/>
      <c r="R30" s="191"/>
      <c r="S30" s="192"/>
      <c r="T30" s="20"/>
      <c r="U30" s="191"/>
      <c r="V30" s="192"/>
      <c r="W30" s="20"/>
      <c r="X30" s="191"/>
      <c r="Y30" s="192"/>
      <c r="Z30" s="20"/>
      <c r="AA30" s="191"/>
      <c r="AB30" s="192"/>
      <c r="AC30" s="19"/>
      <c r="AD30" s="41" t="s">
        <v>38</v>
      </c>
      <c r="AE30" s="42" t="s">
        <v>10</v>
      </c>
    </row>
    <row r="31" spans="3:31" ht="15" x14ac:dyDescent="0.2">
      <c r="C31" s="18" t="s">
        <v>11</v>
      </c>
      <c r="D31" s="21" t="s">
        <v>37</v>
      </c>
      <c r="E31" s="23"/>
      <c r="F31" s="193"/>
      <c r="G31" s="193"/>
      <c r="H31" s="24"/>
      <c r="I31" s="193"/>
      <c r="J31" s="193"/>
      <c r="K31" s="24" t="s">
        <v>35</v>
      </c>
      <c r="L31" s="193"/>
      <c r="M31" s="193"/>
      <c r="N31" s="24"/>
      <c r="O31" s="193"/>
      <c r="P31" s="193"/>
      <c r="Q31" s="23"/>
      <c r="R31" s="193"/>
      <c r="S31" s="193"/>
      <c r="T31" s="24"/>
      <c r="U31" s="193"/>
      <c r="V31" s="193"/>
      <c r="W31" s="24"/>
      <c r="X31" s="193"/>
      <c r="Y31" s="193"/>
      <c r="Z31" s="24"/>
      <c r="AA31" s="193"/>
      <c r="AB31" s="193"/>
      <c r="AC31" s="23"/>
      <c r="AD31" s="43" t="s">
        <v>39</v>
      </c>
      <c r="AE31" s="42" t="s">
        <v>11</v>
      </c>
    </row>
    <row r="32" spans="3:31" ht="15" x14ac:dyDescent="0.2">
      <c r="C32" s="18" t="s">
        <v>12</v>
      </c>
      <c r="D32" s="21" t="s">
        <v>37</v>
      </c>
      <c r="E32" s="23"/>
      <c r="F32" s="193"/>
      <c r="G32" s="193"/>
      <c r="H32" s="24"/>
      <c r="I32" s="193"/>
      <c r="J32" s="193"/>
      <c r="K32" s="24"/>
      <c r="L32" s="193"/>
      <c r="M32" s="193"/>
      <c r="N32" s="24" t="s">
        <v>35</v>
      </c>
      <c r="O32" s="193"/>
      <c r="P32" s="193"/>
      <c r="Q32" s="26"/>
      <c r="R32" s="193"/>
      <c r="S32" s="193"/>
      <c r="T32" s="24"/>
      <c r="U32" s="193"/>
      <c r="V32" s="193"/>
      <c r="W32" s="24"/>
      <c r="X32" s="193"/>
      <c r="Y32" s="193"/>
      <c r="Z32" s="24"/>
      <c r="AA32" s="193"/>
      <c r="AB32" s="193"/>
      <c r="AC32" s="23"/>
      <c r="AD32" s="43" t="s">
        <v>40</v>
      </c>
      <c r="AE32" s="42" t="s">
        <v>12</v>
      </c>
    </row>
    <row r="33" spans="3:31" ht="15.75" thickBot="1" x14ac:dyDescent="0.25">
      <c r="C33" s="27" t="s">
        <v>13</v>
      </c>
      <c r="D33" s="44" t="s">
        <v>37</v>
      </c>
      <c r="E33" s="29"/>
      <c r="F33" s="194"/>
      <c r="G33" s="194"/>
      <c r="H33" s="30" t="s">
        <v>35</v>
      </c>
      <c r="I33" s="194"/>
      <c r="J33" s="194"/>
      <c r="K33" s="30"/>
      <c r="L33" s="194"/>
      <c r="M33" s="194"/>
      <c r="N33" s="30"/>
      <c r="O33" s="194"/>
      <c r="P33" s="194"/>
      <c r="Q33" s="31"/>
      <c r="R33" s="194"/>
      <c r="S33" s="194"/>
      <c r="T33" s="30"/>
      <c r="U33" s="194"/>
      <c r="V33" s="194"/>
      <c r="W33" s="30"/>
      <c r="X33" s="194"/>
      <c r="Y33" s="194"/>
      <c r="Z33" s="30"/>
      <c r="AA33" s="194"/>
      <c r="AB33" s="194"/>
      <c r="AC33" s="29"/>
      <c r="AD33" s="45" t="s">
        <v>41</v>
      </c>
      <c r="AE33" s="46" t="s">
        <v>13</v>
      </c>
    </row>
    <row r="36" spans="3:31" ht="13.5" thickBot="1" x14ac:dyDescent="0.25"/>
    <row r="37" spans="3:31" ht="15.75" thickBot="1" x14ac:dyDescent="0.25">
      <c r="C37" s="34" t="s">
        <v>0</v>
      </c>
      <c r="D37" s="35" t="s">
        <v>42</v>
      </c>
      <c r="E37" s="195" t="s">
        <v>3</v>
      </c>
      <c r="F37" s="196"/>
      <c r="G37" s="196" t="s">
        <v>4</v>
      </c>
      <c r="H37" s="196"/>
      <c r="I37" s="196"/>
      <c r="J37" s="196" t="s">
        <v>5</v>
      </c>
      <c r="K37" s="196"/>
      <c r="L37" s="196"/>
      <c r="M37" s="196" t="s">
        <v>6</v>
      </c>
      <c r="N37" s="196"/>
      <c r="O37" s="196"/>
      <c r="P37" s="196" t="s">
        <v>7</v>
      </c>
      <c r="Q37" s="196"/>
      <c r="R37" s="196"/>
      <c r="S37" s="196" t="s">
        <v>6</v>
      </c>
      <c r="T37" s="196"/>
      <c r="U37" s="196"/>
      <c r="V37" s="196" t="s">
        <v>5</v>
      </c>
      <c r="W37" s="196"/>
      <c r="X37" s="196"/>
      <c r="Y37" s="197" t="s">
        <v>4</v>
      </c>
      <c r="Z37" s="198"/>
      <c r="AA37" s="195"/>
      <c r="AB37" s="196" t="s">
        <v>3</v>
      </c>
      <c r="AC37" s="197"/>
      <c r="AD37" s="35" t="s">
        <v>42</v>
      </c>
      <c r="AE37" s="36" t="s">
        <v>0</v>
      </c>
    </row>
    <row r="38" spans="3:31" ht="15.75" thickBot="1" x14ac:dyDescent="0.3">
      <c r="C38" s="12" t="s">
        <v>8</v>
      </c>
      <c r="D38" s="7" t="s">
        <v>33</v>
      </c>
      <c r="E38" s="8">
        <v>9</v>
      </c>
      <c r="F38" s="188">
        <v>8</v>
      </c>
      <c r="G38" s="188"/>
      <c r="H38" s="9">
        <v>7</v>
      </c>
      <c r="I38" s="188">
        <v>6</v>
      </c>
      <c r="J38" s="188"/>
      <c r="K38" s="9">
        <v>5</v>
      </c>
      <c r="L38" s="188">
        <v>4</v>
      </c>
      <c r="M38" s="188"/>
      <c r="N38" s="9">
        <v>3</v>
      </c>
      <c r="O38" s="188">
        <v>2</v>
      </c>
      <c r="P38" s="188"/>
      <c r="Q38" s="10">
        <v>1</v>
      </c>
      <c r="R38" s="188">
        <v>2</v>
      </c>
      <c r="S38" s="188"/>
      <c r="T38" s="9">
        <v>3</v>
      </c>
      <c r="U38" s="188">
        <v>4</v>
      </c>
      <c r="V38" s="188"/>
      <c r="W38" s="9">
        <v>5</v>
      </c>
      <c r="X38" s="188">
        <v>6</v>
      </c>
      <c r="Y38" s="188"/>
      <c r="Z38" s="9">
        <v>7</v>
      </c>
      <c r="AA38" s="188">
        <v>8</v>
      </c>
      <c r="AB38" s="188"/>
      <c r="AC38" s="11">
        <v>9</v>
      </c>
      <c r="AD38" s="7" t="s">
        <v>33</v>
      </c>
      <c r="AE38" s="17" t="s">
        <v>8</v>
      </c>
    </row>
    <row r="39" spans="3:31" ht="30" x14ac:dyDescent="0.2">
      <c r="C39" s="18" t="s">
        <v>9</v>
      </c>
      <c r="D39" s="21" t="s">
        <v>38</v>
      </c>
      <c r="E39" s="19"/>
      <c r="F39" s="191"/>
      <c r="G39" s="192"/>
      <c r="H39" s="20"/>
      <c r="I39" s="191"/>
      <c r="J39" s="192"/>
      <c r="K39" s="20"/>
      <c r="L39" s="191"/>
      <c r="M39" s="192"/>
      <c r="N39" s="20"/>
      <c r="O39" s="191"/>
      <c r="P39" s="192"/>
      <c r="Q39" s="19"/>
      <c r="R39" s="191"/>
      <c r="S39" s="192"/>
      <c r="T39" s="20" t="s">
        <v>35</v>
      </c>
      <c r="U39" s="191"/>
      <c r="V39" s="192"/>
      <c r="W39" s="20"/>
      <c r="X39" s="191"/>
      <c r="Y39" s="192"/>
      <c r="Z39" s="20"/>
      <c r="AA39" s="191"/>
      <c r="AB39" s="192"/>
      <c r="AC39" s="19"/>
      <c r="AD39" s="21" t="s">
        <v>34</v>
      </c>
      <c r="AE39" s="22" t="s">
        <v>9</v>
      </c>
    </row>
    <row r="40" spans="3:31" ht="30" x14ac:dyDescent="0.2">
      <c r="C40" s="18" t="s">
        <v>10</v>
      </c>
      <c r="D40" s="21" t="s">
        <v>38</v>
      </c>
      <c r="E40" s="19"/>
      <c r="F40" s="191"/>
      <c r="G40" s="192"/>
      <c r="H40" s="20"/>
      <c r="I40" s="191"/>
      <c r="J40" s="192"/>
      <c r="K40" s="20"/>
      <c r="L40" s="191"/>
      <c r="M40" s="192"/>
      <c r="N40" s="20"/>
      <c r="O40" s="191"/>
      <c r="P40" s="192"/>
      <c r="Q40" s="19"/>
      <c r="R40" s="191"/>
      <c r="S40" s="192"/>
      <c r="T40" s="20"/>
      <c r="U40" s="191"/>
      <c r="V40" s="192"/>
      <c r="W40" s="20"/>
      <c r="X40" s="191"/>
      <c r="Y40" s="192"/>
      <c r="Z40" s="20" t="s">
        <v>35</v>
      </c>
      <c r="AA40" s="191"/>
      <c r="AB40" s="192"/>
      <c r="AC40" s="19"/>
      <c r="AD40" s="16" t="s">
        <v>37</v>
      </c>
      <c r="AE40" s="22" t="s">
        <v>10</v>
      </c>
    </row>
    <row r="41" spans="3:31" ht="30" x14ac:dyDescent="0.2">
      <c r="C41" s="18" t="s">
        <v>11</v>
      </c>
      <c r="D41" s="21" t="s">
        <v>38</v>
      </c>
      <c r="E41" s="23"/>
      <c r="F41" s="193"/>
      <c r="G41" s="193"/>
      <c r="H41" s="24"/>
      <c r="I41" s="193"/>
      <c r="J41" s="193"/>
      <c r="K41" s="24"/>
      <c r="L41" s="193"/>
      <c r="M41" s="193"/>
      <c r="N41" s="24"/>
      <c r="O41" s="193"/>
      <c r="P41" s="193"/>
      <c r="Q41" s="23"/>
      <c r="R41" s="193"/>
      <c r="S41" s="193"/>
      <c r="T41" s="24" t="s">
        <v>35</v>
      </c>
      <c r="U41" s="193"/>
      <c r="V41" s="193"/>
      <c r="W41" s="24"/>
      <c r="X41" s="193"/>
      <c r="Y41" s="193"/>
      <c r="Z41" s="24"/>
      <c r="AA41" s="193"/>
      <c r="AB41" s="193"/>
      <c r="AC41" s="23"/>
      <c r="AD41" s="25" t="s">
        <v>39</v>
      </c>
      <c r="AE41" s="22" t="s">
        <v>11</v>
      </c>
    </row>
    <row r="42" spans="3:31" ht="30" x14ac:dyDescent="0.2">
      <c r="C42" s="18" t="s">
        <v>12</v>
      </c>
      <c r="D42" s="21" t="s">
        <v>38</v>
      </c>
      <c r="E42" s="23"/>
      <c r="F42" s="193"/>
      <c r="G42" s="193"/>
      <c r="H42" s="24"/>
      <c r="I42" s="193"/>
      <c r="J42" s="193"/>
      <c r="K42" s="24"/>
      <c r="L42" s="193"/>
      <c r="M42" s="193"/>
      <c r="N42" s="24"/>
      <c r="O42" s="193"/>
      <c r="P42" s="193"/>
      <c r="Q42" s="26" t="s">
        <v>35</v>
      </c>
      <c r="R42" s="193"/>
      <c r="S42" s="193"/>
      <c r="T42" s="24"/>
      <c r="U42" s="193"/>
      <c r="V42" s="193"/>
      <c r="W42" s="24"/>
      <c r="X42" s="193"/>
      <c r="Y42" s="193"/>
      <c r="Z42" s="24"/>
      <c r="AA42" s="193"/>
      <c r="AB42" s="193"/>
      <c r="AC42" s="23"/>
      <c r="AD42" s="25" t="s">
        <v>40</v>
      </c>
      <c r="AE42" s="22" t="s">
        <v>12</v>
      </c>
    </row>
    <row r="43" spans="3:31" ht="30.75" thickBot="1" x14ac:dyDescent="0.25">
      <c r="C43" s="27" t="s">
        <v>13</v>
      </c>
      <c r="D43" s="44" t="s">
        <v>38</v>
      </c>
      <c r="E43" s="29"/>
      <c r="F43" s="194"/>
      <c r="G43" s="194"/>
      <c r="H43" s="30" t="s">
        <v>35</v>
      </c>
      <c r="I43" s="194"/>
      <c r="J43" s="194"/>
      <c r="K43" s="30"/>
      <c r="L43" s="194"/>
      <c r="M43" s="194"/>
      <c r="N43" s="30"/>
      <c r="O43" s="194"/>
      <c r="P43" s="194"/>
      <c r="Q43" s="31"/>
      <c r="R43" s="194"/>
      <c r="S43" s="194"/>
      <c r="T43" s="30"/>
      <c r="U43" s="194"/>
      <c r="V43" s="194"/>
      <c r="W43" s="30"/>
      <c r="X43" s="194"/>
      <c r="Y43" s="194"/>
      <c r="Z43" s="30"/>
      <c r="AA43" s="194"/>
      <c r="AB43" s="194"/>
      <c r="AC43" s="29"/>
      <c r="AD43" s="32" t="s">
        <v>41</v>
      </c>
      <c r="AE43" s="33" t="s">
        <v>13</v>
      </c>
    </row>
    <row r="47" spans="3:31" ht="13.5" thickBot="1" x14ac:dyDescent="0.25"/>
    <row r="48" spans="3:31" ht="15.75" thickBot="1" x14ac:dyDescent="0.25">
      <c r="C48" s="34" t="s">
        <v>0</v>
      </c>
      <c r="D48" s="35" t="s">
        <v>42</v>
      </c>
      <c r="E48" s="195" t="s">
        <v>3</v>
      </c>
      <c r="F48" s="196"/>
      <c r="G48" s="196" t="s">
        <v>4</v>
      </c>
      <c r="H48" s="196"/>
      <c r="I48" s="196"/>
      <c r="J48" s="196" t="s">
        <v>5</v>
      </c>
      <c r="K48" s="196"/>
      <c r="L48" s="196"/>
      <c r="M48" s="196" t="s">
        <v>6</v>
      </c>
      <c r="N48" s="196"/>
      <c r="O48" s="196"/>
      <c r="P48" s="196" t="s">
        <v>7</v>
      </c>
      <c r="Q48" s="196"/>
      <c r="R48" s="196"/>
      <c r="S48" s="196" t="s">
        <v>6</v>
      </c>
      <c r="T48" s="196"/>
      <c r="U48" s="196"/>
      <c r="V48" s="196" t="s">
        <v>5</v>
      </c>
      <c r="W48" s="196"/>
      <c r="X48" s="196"/>
      <c r="Y48" s="197" t="s">
        <v>4</v>
      </c>
      <c r="Z48" s="198"/>
      <c r="AA48" s="195"/>
      <c r="AB48" s="196" t="s">
        <v>3</v>
      </c>
      <c r="AC48" s="197"/>
      <c r="AD48" s="35" t="s">
        <v>42</v>
      </c>
      <c r="AE48" s="36" t="s">
        <v>0</v>
      </c>
    </row>
    <row r="49" spans="3:31" ht="15.75" thickBot="1" x14ac:dyDescent="0.3">
      <c r="C49" s="12" t="s">
        <v>8</v>
      </c>
      <c r="D49" s="7" t="s">
        <v>33</v>
      </c>
      <c r="E49" s="8">
        <v>9</v>
      </c>
      <c r="F49" s="188">
        <v>8</v>
      </c>
      <c r="G49" s="188"/>
      <c r="H49" s="9">
        <v>7</v>
      </c>
      <c r="I49" s="188">
        <v>6</v>
      </c>
      <c r="J49" s="188"/>
      <c r="K49" s="9">
        <v>5</v>
      </c>
      <c r="L49" s="188">
        <v>4</v>
      </c>
      <c r="M49" s="188"/>
      <c r="N49" s="9">
        <v>3</v>
      </c>
      <c r="O49" s="188">
        <v>2</v>
      </c>
      <c r="P49" s="188"/>
      <c r="Q49" s="10">
        <v>1</v>
      </c>
      <c r="R49" s="188">
        <v>2</v>
      </c>
      <c r="S49" s="188"/>
      <c r="T49" s="9">
        <v>3</v>
      </c>
      <c r="U49" s="188">
        <v>4</v>
      </c>
      <c r="V49" s="188"/>
      <c r="W49" s="9">
        <v>5</v>
      </c>
      <c r="X49" s="188">
        <v>6</v>
      </c>
      <c r="Y49" s="188"/>
      <c r="Z49" s="9">
        <v>7</v>
      </c>
      <c r="AA49" s="188">
        <v>8</v>
      </c>
      <c r="AB49" s="188"/>
      <c r="AC49" s="11">
        <v>9</v>
      </c>
      <c r="AD49" s="7" t="s">
        <v>33</v>
      </c>
      <c r="AE49" s="17" t="s">
        <v>8</v>
      </c>
    </row>
    <row r="50" spans="3:31" ht="15" x14ac:dyDescent="0.2">
      <c r="C50" s="18" t="s">
        <v>9</v>
      </c>
      <c r="D50" s="25" t="s">
        <v>39</v>
      </c>
      <c r="E50" s="19"/>
      <c r="F50" s="191"/>
      <c r="G50" s="192"/>
      <c r="H50" s="20"/>
      <c r="I50" s="191"/>
      <c r="J50" s="192"/>
      <c r="K50" s="20"/>
      <c r="L50" s="191"/>
      <c r="M50" s="192"/>
      <c r="N50" s="20" t="s">
        <v>35</v>
      </c>
      <c r="O50" s="191"/>
      <c r="P50" s="192"/>
      <c r="Q50" s="19"/>
      <c r="R50" s="191"/>
      <c r="S50" s="192"/>
      <c r="T50" s="20"/>
      <c r="U50" s="191"/>
      <c r="V50" s="192"/>
      <c r="W50" s="20"/>
      <c r="X50" s="191"/>
      <c r="Y50" s="192"/>
      <c r="Z50" s="20"/>
      <c r="AA50" s="191"/>
      <c r="AB50" s="192"/>
      <c r="AC50" s="19"/>
      <c r="AD50" s="21" t="s">
        <v>34</v>
      </c>
      <c r="AE50" s="22" t="s">
        <v>9</v>
      </c>
    </row>
    <row r="51" spans="3:31" ht="15" x14ac:dyDescent="0.2">
      <c r="C51" s="18" t="s">
        <v>10</v>
      </c>
      <c r="D51" s="25" t="s">
        <v>39</v>
      </c>
      <c r="E51" s="19"/>
      <c r="F51" s="191"/>
      <c r="G51" s="192"/>
      <c r="H51" s="20"/>
      <c r="I51" s="191"/>
      <c r="J51" s="192"/>
      <c r="K51" s="20"/>
      <c r="L51" s="191"/>
      <c r="M51" s="192"/>
      <c r="N51" s="20"/>
      <c r="O51" s="191"/>
      <c r="P51" s="192"/>
      <c r="Q51" s="19"/>
      <c r="R51" s="191"/>
      <c r="S51" s="192"/>
      <c r="T51" s="20"/>
      <c r="U51" s="191"/>
      <c r="V51" s="192"/>
      <c r="W51" s="20" t="s">
        <v>35</v>
      </c>
      <c r="X51" s="191"/>
      <c r="Y51" s="192"/>
      <c r="Z51" s="20"/>
      <c r="AA51" s="191"/>
      <c r="AB51" s="192"/>
      <c r="AC51" s="19"/>
      <c r="AD51" s="21" t="s">
        <v>37</v>
      </c>
      <c r="AE51" s="22" t="s">
        <v>10</v>
      </c>
    </row>
    <row r="52" spans="3:31" ht="15" x14ac:dyDescent="0.2">
      <c r="C52" s="18" t="s">
        <v>11</v>
      </c>
      <c r="D52" s="25" t="s">
        <v>39</v>
      </c>
      <c r="E52" s="23"/>
      <c r="F52" s="193"/>
      <c r="G52" s="193"/>
      <c r="H52" s="24"/>
      <c r="I52" s="193"/>
      <c r="J52" s="193"/>
      <c r="K52" s="24"/>
      <c r="L52" s="193"/>
      <c r="M52" s="193"/>
      <c r="N52" s="24" t="s">
        <v>35</v>
      </c>
      <c r="O52" s="193"/>
      <c r="P52" s="193"/>
      <c r="Q52" s="23"/>
      <c r="R52" s="193"/>
      <c r="S52" s="193"/>
      <c r="T52" s="24"/>
      <c r="U52" s="193"/>
      <c r="V52" s="193"/>
      <c r="W52" s="24"/>
      <c r="X52" s="193"/>
      <c r="Y52" s="193"/>
      <c r="Z52" s="24"/>
      <c r="AA52" s="193"/>
      <c r="AB52" s="193"/>
      <c r="AC52" s="23"/>
      <c r="AD52" s="21" t="s">
        <v>38</v>
      </c>
      <c r="AE52" s="22" t="s">
        <v>11</v>
      </c>
    </row>
    <row r="53" spans="3:31" ht="15" x14ac:dyDescent="0.2">
      <c r="C53" s="18" t="s">
        <v>12</v>
      </c>
      <c r="D53" s="25" t="s">
        <v>39</v>
      </c>
      <c r="E53" s="23"/>
      <c r="F53" s="193"/>
      <c r="G53" s="193"/>
      <c r="H53" s="24"/>
      <c r="I53" s="193"/>
      <c r="J53" s="193"/>
      <c r="K53" s="24" t="s">
        <v>35</v>
      </c>
      <c r="L53" s="193"/>
      <c r="M53" s="193"/>
      <c r="N53" s="24"/>
      <c r="O53" s="193"/>
      <c r="P53" s="193"/>
      <c r="Q53" s="26"/>
      <c r="R53" s="193"/>
      <c r="S53" s="193"/>
      <c r="T53" s="24"/>
      <c r="U53" s="193"/>
      <c r="V53" s="193"/>
      <c r="W53" s="24"/>
      <c r="X53" s="193"/>
      <c r="Y53" s="193"/>
      <c r="Z53" s="24"/>
      <c r="AA53" s="193"/>
      <c r="AB53" s="193"/>
      <c r="AC53" s="23"/>
      <c r="AD53" s="25" t="s">
        <v>40</v>
      </c>
      <c r="AE53" s="22" t="s">
        <v>12</v>
      </c>
    </row>
    <row r="54" spans="3:31" ht="15.75" thickBot="1" x14ac:dyDescent="0.25">
      <c r="C54" s="27" t="s">
        <v>13</v>
      </c>
      <c r="D54" s="32" t="s">
        <v>39</v>
      </c>
      <c r="E54" s="29"/>
      <c r="F54" s="194"/>
      <c r="G54" s="194"/>
      <c r="H54" s="30" t="s">
        <v>35</v>
      </c>
      <c r="I54" s="194"/>
      <c r="J54" s="194"/>
      <c r="K54" s="30"/>
      <c r="L54" s="194"/>
      <c r="M54" s="194"/>
      <c r="N54" s="30"/>
      <c r="O54" s="194"/>
      <c r="P54" s="194"/>
      <c r="Q54" s="31"/>
      <c r="R54" s="194"/>
      <c r="S54" s="194"/>
      <c r="T54" s="30"/>
      <c r="U54" s="194"/>
      <c r="V54" s="194"/>
      <c r="W54" s="30"/>
      <c r="X54" s="194"/>
      <c r="Y54" s="194"/>
      <c r="Z54" s="30"/>
      <c r="AA54" s="194"/>
      <c r="AB54" s="194"/>
      <c r="AC54" s="29"/>
      <c r="AD54" s="32" t="s">
        <v>41</v>
      </c>
      <c r="AE54" s="33" t="s">
        <v>13</v>
      </c>
    </row>
    <row r="57" spans="3:31" ht="13.5" thickBot="1" x14ac:dyDescent="0.25"/>
    <row r="58" spans="3:31" ht="15.75" thickBot="1" x14ac:dyDescent="0.25">
      <c r="C58" s="34" t="s">
        <v>0</v>
      </c>
      <c r="D58" s="35" t="s">
        <v>42</v>
      </c>
      <c r="E58" s="195" t="s">
        <v>3</v>
      </c>
      <c r="F58" s="196"/>
      <c r="G58" s="196" t="s">
        <v>4</v>
      </c>
      <c r="H58" s="196"/>
      <c r="I58" s="196"/>
      <c r="J58" s="196" t="s">
        <v>5</v>
      </c>
      <c r="K58" s="196"/>
      <c r="L58" s="196"/>
      <c r="M58" s="196" t="s">
        <v>6</v>
      </c>
      <c r="N58" s="196"/>
      <c r="O58" s="196"/>
      <c r="P58" s="196" t="s">
        <v>7</v>
      </c>
      <c r="Q58" s="196"/>
      <c r="R58" s="196"/>
      <c r="S58" s="196" t="s">
        <v>6</v>
      </c>
      <c r="T58" s="196"/>
      <c r="U58" s="196"/>
      <c r="V58" s="196" t="s">
        <v>5</v>
      </c>
      <c r="W58" s="196"/>
      <c r="X58" s="196"/>
      <c r="Y58" s="197" t="s">
        <v>4</v>
      </c>
      <c r="Z58" s="198"/>
      <c r="AA58" s="195"/>
      <c r="AB58" s="196" t="s">
        <v>3</v>
      </c>
      <c r="AC58" s="197"/>
      <c r="AD58" s="35" t="s">
        <v>42</v>
      </c>
      <c r="AE58" s="36" t="s">
        <v>0</v>
      </c>
    </row>
    <row r="59" spans="3:31" ht="15.75" thickBot="1" x14ac:dyDescent="0.3">
      <c r="C59" s="12" t="s">
        <v>8</v>
      </c>
      <c r="D59" s="7" t="s">
        <v>33</v>
      </c>
      <c r="E59" s="8">
        <v>9</v>
      </c>
      <c r="F59" s="188">
        <v>8</v>
      </c>
      <c r="G59" s="188"/>
      <c r="H59" s="9">
        <v>7</v>
      </c>
      <c r="I59" s="188">
        <v>6</v>
      </c>
      <c r="J59" s="188"/>
      <c r="K59" s="9">
        <v>5</v>
      </c>
      <c r="L59" s="188">
        <v>4</v>
      </c>
      <c r="M59" s="188"/>
      <c r="N59" s="9">
        <v>3</v>
      </c>
      <c r="O59" s="188">
        <v>2</v>
      </c>
      <c r="P59" s="188"/>
      <c r="Q59" s="10">
        <v>1</v>
      </c>
      <c r="R59" s="188">
        <v>2</v>
      </c>
      <c r="S59" s="188"/>
      <c r="T59" s="9">
        <v>3</v>
      </c>
      <c r="U59" s="188">
        <v>4</v>
      </c>
      <c r="V59" s="188"/>
      <c r="W59" s="9">
        <v>5</v>
      </c>
      <c r="X59" s="188">
        <v>6</v>
      </c>
      <c r="Y59" s="188"/>
      <c r="Z59" s="9">
        <v>7</v>
      </c>
      <c r="AA59" s="188">
        <v>8</v>
      </c>
      <c r="AB59" s="188"/>
      <c r="AC59" s="11">
        <v>9</v>
      </c>
      <c r="AD59" s="7" t="s">
        <v>33</v>
      </c>
      <c r="AE59" s="17" t="s">
        <v>8</v>
      </c>
    </row>
    <row r="60" spans="3:31" ht="15" x14ac:dyDescent="0.2">
      <c r="C60" s="18" t="s">
        <v>9</v>
      </c>
      <c r="D60" s="25" t="s">
        <v>40</v>
      </c>
      <c r="E60" s="19"/>
      <c r="F60" s="191"/>
      <c r="G60" s="192"/>
      <c r="H60" s="20"/>
      <c r="I60" s="191"/>
      <c r="J60" s="192"/>
      <c r="K60" s="20"/>
      <c r="L60" s="191"/>
      <c r="M60" s="192"/>
      <c r="N60" s="20"/>
      <c r="O60" s="191"/>
      <c r="P60" s="192"/>
      <c r="Q60" s="19"/>
      <c r="R60" s="191"/>
      <c r="S60" s="192"/>
      <c r="T60" s="20" t="s">
        <v>35</v>
      </c>
      <c r="U60" s="191"/>
      <c r="V60" s="192"/>
      <c r="W60" s="20"/>
      <c r="X60" s="191"/>
      <c r="Y60" s="192"/>
      <c r="Z60" s="20"/>
      <c r="AA60" s="191"/>
      <c r="AB60" s="192"/>
      <c r="AC60" s="19"/>
      <c r="AD60" s="21" t="s">
        <v>34</v>
      </c>
      <c r="AE60" s="22" t="s">
        <v>9</v>
      </c>
    </row>
    <row r="61" spans="3:31" ht="15" x14ac:dyDescent="0.2">
      <c r="C61" s="18" t="s">
        <v>10</v>
      </c>
      <c r="D61" s="25" t="s">
        <v>40</v>
      </c>
      <c r="E61" s="19"/>
      <c r="F61" s="191"/>
      <c r="G61" s="192"/>
      <c r="H61" s="20"/>
      <c r="I61" s="191"/>
      <c r="J61" s="192"/>
      <c r="K61" s="20"/>
      <c r="L61" s="191"/>
      <c r="M61" s="192"/>
      <c r="N61" s="20"/>
      <c r="O61" s="191"/>
      <c r="P61" s="192"/>
      <c r="Q61" s="19" t="s">
        <v>35</v>
      </c>
      <c r="R61" s="191"/>
      <c r="S61" s="192"/>
      <c r="T61" s="20"/>
      <c r="U61" s="191"/>
      <c r="V61" s="192"/>
      <c r="W61" s="20"/>
      <c r="X61" s="191"/>
      <c r="Y61" s="192"/>
      <c r="Z61" s="20"/>
      <c r="AA61" s="191"/>
      <c r="AB61" s="192"/>
      <c r="AC61" s="19"/>
      <c r="AD61" s="21" t="s">
        <v>38</v>
      </c>
      <c r="AE61" s="22" t="s">
        <v>10</v>
      </c>
    </row>
    <row r="62" spans="3:31" ht="15" x14ac:dyDescent="0.2">
      <c r="C62" s="18" t="s">
        <v>11</v>
      </c>
      <c r="D62" s="25" t="s">
        <v>40</v>
      </c>
      <c r="E62" s="23"/>
      <c r="F62" s="193"/>
      <c r="G62" s="193"/>
      <c r="H62" s="24"/>
      <c r="I62" s="193"/>
      <c r="J62" s="193"/>
      <c r="K62" s="24"/>
      <c r="L62" s="193"/>
      <c r="M62" s="193"/>
      <c r="N62" s="24"/>
      <c r="O62" s="193"/>
      <c r="P62" s="193"/>
      <c r="Q62" s="23"/>
      <c r="R62" s="193"/>
      <c r="S62" s="193"/>
      <c r="T62" s="24"/>
      <c r="U62" s="193"/>
      <c r="V62" s="193"/>
      <c r="W62" s="24" t="s">
        <v>35</v>
      </c>
      <c r="X62" s="193"/>
      <c r="Y62" s="193"/>
      <c r="Z62" s="24"/>
      <c r="AA62" s="193"/>
      <c r="AB62" s="193"/>
      <c r="AC62" s="23"/>
      <c r="AD62" s="25" t="s">
        <v>39</v>
      </c>
      <c r="AE62" s="22" t="s">
        <v>11</v>
      </c>
    </row>
    <row r="63" spans="3:31" ht="15" x14ac:dyDescent="0.2">
      <c r="C63" s="18" t="s">
        <v>12</v>
      </c>
      <c r="D63" s="25" t="s">
        <v>40</v>
      </c>
      <c r="E63" s="23"/>
      <c r="F63" s="193"/>
      <c r="G63" s="193"/>
      <c r="H63" s="24"/>
      <c r="I63" s="193"/>
      <c r="J63" s="193"/>
      <c r="K63" s="24"/>
      <c r="L63" s="193"/>
      <c r="M63" s="193"/>
      <c r="N63" s="24"/>
      <c r="O63" s="193"/>
      <c r="P63" s="193"/>
      <c r="Q63" s="26"/>
      <c r="R63" s="193"/>
      <c r="S63" s="193"/>
      <c r="T63" s="24" t="s">
        <v>35</v>
      </c>
      <c r="U63" s="193"/>
      <c r="V63" s="193"/>
      <c r="W63" s="24"/>
      <c r="X63" s="193"/>
      <c r="Y63" s="193"/>
      <c r="Z63" s="24"/>
      <c r="AA63" s="193"/>
      <c r="AB63" s="193"/>
      <c r="AC63" s="23"/>
      <c r="AD63" s="25" t="s">
        <v>37</v>
      </c>
      <c r="AE63" s="22" t="s">
        <v>12</v>
      </c>
    </row>
    <row r="64" spans="3:31" ht="15.75" thickBot="1" x14ac:dyDescent="0.25">
      <c r="C64" s="27" t="s">
        <v>13</v>
      </c>
      <c r="D64" s="32" t="s">
        <v>40</v>
      </c>
      <c r="E64" s="29"/>
      <c r="F64" s="194"/>
      <c r="G64" s="194"/>
      <c r="H64" s="30"/>
      <c r="I64" s="194"/>
      <c r="J64" s="194"/>
      <c r="K64" s="30" t="s">
        <v>35</v>
      </c>
      <c r="L64" s="194"/>
      <c r="M64" s="194"/>
      <c r="N64" s="30"/>
      <c r="O64" s="194"/>
      <c r="P64" s="194"/>
      <c r="Q64" s="31"/>
      <c r="R64" s="194"/>
      <c r="S64" s="194"/>
      <c r="T64" s="30"/>
      <c r="U64" s="194"/>
      <c r="V64" s="194"/>
      <c r="W64" s="30"/>
      <c r="X64" s="194"/>
      <c r="Y64" s="194"/>
      <c r="Z64" s="30"/>
      <c r="AA64" s="194"/>
      <c r="AB64" s="194"/>
      <c r="AC64" s="29"/>
      <c r="AD64" s="32" t="s">
        <v>41</v>
      </c>
      <c r="AE64" s="33" t="s">
        <v>13</v>
      </c>
    </row>
    <row r="68" spans="3:31" ht="13.5" thickBot="1" x14ac:dyDescent="0.25"/>
    <row r="69" spans="3:31" ht="15.75" thickBot="1" x14ac:dyDescent="0.25">
      <c r="C69" s="34" t="s">
        <v>0</v>
      </c>
      <c r="D69" s="35" t="s">
        <v>42</v>
      </c>
      <c r="E69" s="195" t="s">
        <v>3</v>
      </c>
      <c r="F69" s="196"/>
      <c r="G69" s="196" t="s">
        <v>4</v>
      </c>
      <c r="H69" s="196"/>
      <c r="I69" s="196"/>
      <c r="J69" s="196" t="s">
        <v>5</v>
      </c>
      <c r="K69" s="196"/>
      <c r="L69" s="196"/>
      <c r="M69" s="196" t="s">
        <v>6</v>
      </c>
      <c r="N69" s="196"/>
      <c r="O69" s="196"/>
      <c r="P69" s="196" t="s">
        <v>7</v>
      </c>
      <c r="Q69" s="196"/>
      <c r="R69" s="196"/>
      <c r="S69" s="196" t="s">
        <v>6</v>
      </c>
      <c r="T69" s="196"/>
      <c r="U69" s="196"/>
      <c r="V69" s="196" t="s">
        <v>5</v>
      </c>
      <c r="W69" s="196"/>
      <c r="X69" s="196"/>
      <c r="Y69" s="197" t="s">
        <v>4</v>
      </c>
      <c r="Z69" s="198"/>
      <c r="AA69" s="195"/>
      <c r="AB69" s="196" t="s">
        <v>3</v>
      </c>
      <c r="AC69" s="197"/>
      <c r="AD69" s="35" t="s">
        <v>42</v>
      </c>
      <c r="AE69" s="36" t="s">
        <v>0</v>
      </c>
    </row>
    <row r="70" spans="3:31" ht="15.75" thickBot="1" x14ac:dyDescent="0.3">
      <c r="C70" s="12" t="s">
        <v>8</v>
      </c>
      <c r="D70" s="7" t="s">
        <v>33</v>
      </c>
      <c r="E70" s="8">
        <v>9</v>
      </c>
      <c r="F70" s="188">
        <v>8</v>
      </c>
      <c r="G70" s="188"/>
      <c r="H70" s="9">
        <v>7</v>
      </c>
      <c r="I70" s="188">
        <v>6</v>
      </c>
      <c r="J70" s="188"/>
      <c r="K70" s="9">
        <v>5</v>
      </c>
      <c r="L70" s="188">
        <v>4</v>
      </c>
      <c r="M70" s="188"/>
      <c r="N70" s="9">
        <v>3</v>
      </c>
      <c r="O70" s="188">
        <v>2</v>
      </c>
      <c r="P70" s="188"/>
      <c r="Q70" s="10">
        <v>1</v>
      </c>
      <c r="R70" s="188">
        <v>2</v>
      </c>
      <c r="S70" s="188"/>
      <c r="T70" s="9">
        <v>3</v>
      </c>
      <c r="U70" s="188">
        <v>4</v>
      </c>
      <c r="V70" s="188"/>
      <c r="W70" s="9">
        <v>5</v>
      </c>
      <c r="X70" s="188">
        <v>6</v>
      </c>
      <c r="Y70" s="188"/>
      <c r="Z70" s="9">
        <v>7</v>
      </c>
      <c r="AA70" s="188">
        <v>8</v>
      </c>
      <c r="AB70" s="188"/>
      <c r="AC70" s="11">
        <v>9</v>
      </c>
      <c r="AD70" s="7" t="s">
        <v>33</v>
      </c>
      <c r="AE70" s="17" t="s">
        <v>8</v>
      </c>
    </row>
    <row r="71" spans="3:31" ht="15.75" thickBot="1" x14ac:dyDescent="0.25">
      <c r="C71" s="18" t="s">
        <v>9</v>
      </c>
      <c r="D71" s="32" t="s">
        <v>41</v>
      </c>
      <c r="E71" s="19"/>
      <c r="F71" s="191"/>
      <c r="G71" s="192"/>
      <c r="H71" s="20"/>
      <c r="I71" s="191"/>
      <c r="J71" s="192"/>
      <c r="K71" s="20"/>
      <c r="L71" s="191"/>
      <c r="M71" s="192"/>
      <c r="N71" s="20"/>
      <c r="O71" s="191"/>
      <c r="P71" s="192"/>
      <c r="Q71" s="19"/>
      <c r="R71" s="191"/>
      <c r="S71" s="192"/>
      <c r="T71" s="20"/>
      <c r="U71" s="191"/>
      <c r="V71" s="192"/>
      <c r="W71" s="20"/>
      <c r="X71" s="191"/>
      <c r="Y71" s="192"/>
      <c r="Z71" s="20" t="s">
        <v>35</v>
      </c>
      <c r="AA71" s="191"/>
      <c r="AB71" s="192"/>
      <c r="AC71" s="19"/>
      <c r="AD71" s="21" t="s">
        <v>34</v>
      </c>
      <c r="AE71" s="22" t="s">
        <v>9</v>
      </c>
    </row>
    <row r="72" spans="3:31" ht="15.75" thickBot="1" x14ac:dyDescent="0.25">
      <c r="C72" s="18" t="s">
        <v>10</v>
      </c>
      <c r="D72" s="32" t="s">
        <v>41</v>
      </c>
      <c r="E72" s="19"/>
      <c r="F72" s="191"/>
      <c r="G72" s="192"/>
      <c r="H72" s="20"/>
      <c r="I72" s="191"/>
      <c r="J72" s="192"/>
      <c r="K72" s="20"/>
      <c r="L72" s="191"/>
      <c r="M72" s="192"/>
      <c r="N72" s="20"/>
      <c r="O72" s="191"/>
      <c r="P72" s="192"/>
      <c r="Q72" s="19"/>
      <c r="R72" s="191"/>
      <c r="S72" s="192"/>
      <c r="T72" s="20"/>
      <c r="U72" s="191"/>
      <c r="V72" s="192"/>
      <c r="W72" s="20"/>
      <c r="X72" s="191"/>
      <c r="Y72" s="192"/>
      <c r="Z72" s="20" t="s">
        <v>35</v>
      </c>
      <c r="AA72" s="191"/>
      <c r="AB72" s="192"/>
      <c r="AC72" s="19"/>
      <c r="AD72" s="21" t="s">
        <v>38</v>
      </c>
      <c r="AE72" s="22" t="s">
        <v>10</v>
      </c>
    </row>
    <row r="73" spans="3:31" ht="15.75" thickBot="1" x14ac:dyDescent="0.25">
      <c r="C73" s="18" t="s">
        <v>11</v>
      </c>
      <c r="D73" s="32" t="s">
        <v>41</v>
      </c>
      <c r="E73" s="23"/>
      <c r="F73" s="193"/>
      <c r="G73" s="193"/>
      <c r="H73" s="24"/>
      <c r="I73" s="193"/>
      <c r="J73" s="193"/>
      <c r="K73" s="24"/>
      <c r="L73" s="193"/>
      <c r="M73" s="193"/>
      <c r="N73" s="24"/>
      <c r="O73" s="193"/>
      <c r="P73" s="193"/>
      <c r="Q73" s="23"/>
      <c r="R73" s="193"/>
      <c r="S73" s="193"/>
      <c r="T73" s="24"/>
      <c r="U73" s="193"/>
      <c r="V73" s="193"/>
      <c r="W73" s="24"/>
      <c r="X73" s="193"/>
      <c r="Y73" s="193"/>
      <c r="Z73" s="24" t="s">
        <v>35</v>
      </c>
      <c r="AA73" s="193"/>
      <c r="AB73" s="193"/>
      <c r="AC73" s="23"/>
      <c r="AD73" s="25" t="s">
        <v>39</v>
      </c>
      <c r="AE73" s="22" t="s">
        <v>11</v>
      </c>
    </row>
    <row r="74" spans="3:31" ht="15.75" thickBot="1" x14ac:dyDescent="0.25">
      <c r="C74" s="18" t="s">
        <v>12</v>
      </c>
      <c r="D74" s="32" t="s">
        <v>41</v>
      </c>
      <c r="E74" s="23"/>
      <c r="F74" s="193"/>
      <c r="G74" s="193"/>
      <c r="H74" s="24"/>
      <c r="I74" s="193"/>
      <c r="J74" s="193"/>
      <c r="K74" s="24"/>
      <c r="L74" s="193"/>
      <c r="M74" s="193"/>
      <c r="N74" s="24"/>
      <c r="O74" s="193"/>
      <c r="P74" s="193"/>
      <c r="Q74" s="26"/>
      <c r="R74" s="193"/>
      <c r="S74" s="193"/>
      <c r="T74" s="24"/>
      <c r="U74" s="193"/>
      <c r="V74" s="193"/>
      <c r="W74" s="24" t="s">
        <v>35</v>
      </c>
      <c r="X74" s="193"/>
      <c r="Y74" s="193"/>
      <c r="Z74" s="24"/>
      <c r="AA74" s="193"/>
      <c r="AB74" s="193"/>
      <c r="AC74" s="23"/>
      <c r="AD74" s="25" t="s">
        <v>40</v>
      </c>
      <c r="AE74" s="22" t="s">
        <v>12</v>
      </c>
    </row>
    <row r="75" spans="3:31" ht="15.75" thickBot="1" x14ac:dyDescent="0.25">
      <c r="C75" s="27" t="s">
        <v>13</v>
      </c>
      <c r="D75" s="32" t="s">
        <v>41</v>
      </c>
      <c r="E75" s="29"/>
      <c r="F75" s="194"/>
      <c r="G75" s="194"/>
      <c r="H75" s="30"/>
      <c r="I75" s="194"/>
      <c r="J75" s="194"/>
      <c r="K75" s="30"/>
      <c r="L75" s="194"/>
      <c r="M75" s="194"/>
      <c r="N75" s="30"/>
      <c r="O75" s="194"/>
      <c r="P75" s="194"/>
      <c r="Q75" s="31"/>
      <c r="R75" s="194"/>
      <c r="S75" s="194"/>
      <c r="T75" s="30"/>
      <c r="U75" s="194"/>
      <c r="V75" s="194"/>
      <c r="W75" s="30"/>
      <c r="X75" s="194"/>
      <c r="Y75" s="194"/>
      <c r="Z75" s="30" t="s">
        <v>35</v>
      </c>
      <c r="AA75" s="194"/>
      <c r="AB75" s="194"/>
      <c r="AC75" s="29"/>
      <c r="AD75" s="32" t="s">
        <v>37</v>
      </c>
      <c r="AE75" s="33" t="s">
        <v>13</v>
      </c>
    </row>
  </sheetData>
  <mergeCells count="412">
    <mergeCell ref="X75:Y75"/>
    <mergeCell ref="AA75:AB75"/>
    <mergeCell ref="F75:G75"/>
    <mergeCell ref="I75:J75"/>
    <mergeCell ref="L75:M75"/>
    <mergeCell ref="O75:P75"/>
    <mergeCell ref="R75:S75"/>
    <mergeCell ref="U75:V75"/>
    <mergeCell ref="X73:Y73"/>
    <mergeCell ref="AA73:AB73"/>
    <mergeCell ref="F74:G74"/>
    <mergeCell ref="I74:J74"/>
    <mergeCell ref="L74:M74"/>
    <mergeCell ref="O74:P74"/>
    <mergeCell ref="R74:S74"/>
    <mergeCell ref="U74:V74"/>
    <mergeCell ref="X74:Y74"/>
    <mergeCell ref="AA74:AB74"/>
    <mergeCell ref="F73:G73"/>
    <mergeCell ref="I73:J73"/>
    <mergeCell ref="L73:M73"/>
    <mergeCell ref="O73:P73"/>
    <mergeCell ref="R73:S73"/>
    <mergeCell ref="U73:V73"/>
    <mergeCell ref="F72:G72"/>
    <mergeCell ref="I72:J72"/>
    <mergeCell ref="L72:M72"/>
    <mergeCell ref="O72:P72"/>
    <mergeCell ref="R72:S72"/>
    <mergeCell ref="U72:V72"/>
    <mergeCell ref="X72:Y72"/>
    <mergeCell ref="AA72:AB72"/>
    <mergeCell ref="F71:G71"/>
    <mergeCell ref="I71:J71"/>
    <mergeCell ref="L71:M71"/>
    <mergeCell ref="O71:P71"/>
    <mergeCell ref="R71:S71"/>
    <mergeCell ref="U71:V71"/>
    <mergeCell ref="F70:G70"/>
    <mergeCell ref="I70:J70"/>
    <mergeCell ref="L70:M70"/>
    <mergeCell ref="O70:P70"/>
    <mergeCell ref="R70:S70"/>
    <mergeCell ref="U70:V70"/>
    <mergeCell ref="X70:Y70"/>
    <mergeCell ref="AA70:AB70"/>
    <mergeCell ref="X71:Y71"/>
    <mergeCell ref="AA71:AB71"/>
    <mergeCell ref="X64:Y64"/>
    <mergeCell ref="AA64:AB64"/>
    <mergeCell ref="E69:F69"/>
    <mergeCell ref="G69:I69"/>
    <mergeCell ref="J69:L69"/>
    <mergeCell ref="M69:O69"/>
    <mergeCell ref="P69:R69"/>
    <mergeCell ref="S69:U69"/>
    <mergeCell ref="V69:X69"/>
    <mergeCell ref="Y69:AA69"/>
    <mergeCell ref="F64:G64"/>
    <mergeCell ref="I64:J64"/>
    <mergeCell ref="L64:M64"/>
    <mergeCell ref="O64:P64"/>
    <mergeCell ref="R64:S64"/>
    <mergeCell ref="U64:V64"/>
    <mergeCell ref="AB69:AC69"/>
    <mergeCell ref="X62:Y62"/>
    <mergeCell ref="AA62:AB62"/>
    <mergeCell ref="F63:G63"/>
    <mergeCell ref="I63:J63"/>
    <mergeCell ref="L63:M63"/>
    <mergeCell ref="O63:P63"/>
    <mergeCell ref="R63:S63"/>
    <mergeCell ref="U63:V63"/>
    <mergeCell ref="X63:Y63"/>
    <mergeCell ref="AA63:AB63"/>
    <mergeCell ref="F62:G62"/>
    <mergeCell ref="I62:J62"/>
    <mergeCell ref="L62:M62"/>
    <mergeCell ref="O62:P62"/>
    <mergeCell ref="R62:S62"/>
    <mergeCell ref="U62:V62"/>
    <mergeCell ref="F61:G61"/>
    <mergeCell ref="I61:J61"/>
    <mergeCell ref="L61:M61"/>
    <mergeCell ref="O61:P61"/>
    <mergeCell ref="R61:S61"/>
    <mergeCell ref="U61:V61"/>
    <mergeCell ref="X61:Y61"/>
    <mergeCell ref="AA61:AB61"/>
    <mergeCell ref="F60:G60"/>
    <mergeCell ref="I60:J60"/>
    <mergeCell ref="L60:M60"/>
    <mergeCell ref="O60:P60"/>
    <mergeCell ref="R60:S60"/>
    <mergeCell ref="U60:V60"/>
    <mergeCell ref="F59:G59"/>
    <mergeCell ref="I59:J59"/>
    <mergeCell ref="L59:M59"/>
    <mergeCell ref="O59:P59"/>
    <mergeCell ref="R59:S59"/>
    <mergeCell ref="U59:V59"/>
    <mergeCell ref="X59:Y59"/>
    <mergeCell ref="AA59:AB59"/>
    <mergeCell ref="X60:Y60"/>
    <mergeCell ref="AA60:AB60"/>
    <mergeCell ref="X54:Y54"/>
    <mergeCell ref="AA54:AB54"/>
    <mergeCell ref="E58:F58"/>
    <mergeCell ref="G58:I58"/>
    <mergeCell ref="J58:L58"/>
    <mergeCell ref="M58:O58"/>
    <mergeCell ref="P58:R58"/>
    <mergeCell ref="S58:U58"/>
    <mergeCell ref="V58:X58"/>
    <mergeCell ref="Y58:AA58"/>
    <mergeCell ref="F54:G54"/>
    <mergeCell ref="I54:J54"/>
    <mergeCell ref="L54:M54"/>
    <mergeCell ref="O54:P54"/>
    <mergeCell ref="R54:S54"/>
    <mergeCell ref="U54:V54"/>
    <mergeCell ref="AB58:AC58"/>
    <mergeCell ref="X52:Y52"/>
    <mergeCell ref="AA52:AB52"/>
    <mergeCell ref="F53:G53"/>
    <mergeCell ref="I53:J53"/>
    <mergeCell ref="L53:M53"/>
    <mergeCell ref="O53:P53"/>
    <mergeCell ref="R53:S53"/>
    <mergeCell ref="U53:V53"/>
    <mergeCell ref="X53:Y53"/>
    <mergeCell ref="AA53:AB53"/>
    <mergeCell ref="F52:G52"/>
    <mergeCell ref="I52:J52"/>
    <mergeCell ref="L52:M52"/>
    <mergeCell ref="O52:P52"/>
    <mergeCell ref="R52:S52"/>
    <mergeCell ref="U52:V52"/>
    <mergeCell ref="F51:G51"/>
    <mergeCell ref="I51:J51"/>
    <mergeCell ref="L51:M51"/>
    <mergeCell ref="O51:P51"/>
    <mergeCell ref="R51:S51"/>
    <mergeCell ref="U51:V51"/>
    <mergeCell ref="X51:Y51"/>
    <mergeCell ref="AA51:AB51"/>
    <mergeCell ref="F50:G50"/>
    <mergeCell ref="I50:J50"/>
    <mergeCell ref="L50:M50"/>
    <mergeCell ref="O50:P50"/>
    <mergeCell ref="R50:S50"/>
    <mergeCell ref="U50:V50"/>
    <mergeCell ref="F49:G49"/>
    <mergeCell ref="I49:J49"/>
    <mergeCell ref="L49:M49"/>
    <mergeCell ref="O49:P49"/>
    <mergeCell ref="R49:S49"/>
    <mergeCell ref="U49:V49"/>
    <mergeCell ref="X49:Y49"/>
    <mergeCell ref="AA49:AB49"/>
    <mergeCell ref="X50:Y50"/>
    <mergeCell ref="AA50:AB50"/>
    <mergeCell ref="X43:Y43"/>
    <mergeCell ref="AA43:AB43"/>
    <mergeCell ref="E48:F48"/>
    <mergeCell ref="G48:I48"/>
    <mergeCell ref="J48:L48"/>
    <mergeCell ref="M48:O48"/>
    <mergeCell ref="P48:R48"/>
    <mergeCell ref="S48:U48"/>
    <mergeCell ref="V48:X48"/>
    <mergeCell ref="Y48:AA48"/>
    <mergeCell ref="F43:G43"/>
    <mergeCell ref="I43:J43"/>
    <mergeCell ref="L43:M43"/>
    <mergeCell ref="O43:P43"/>
    <mergeCell ref="R43:S43"/>
    <mergeCell ref="U43:V43"/>
    <mergeCell ref="AB48:AC48"/>
    <mergeCell ref="X41:Y41"/>
    <mergeCell ref="AA41:AB41"/>
    <mergeCell ref="F42:G42"/>
    <mergeCell ref="I42:J42"/>
    <mergeCell ref="L42:M42"/>
    <mergeCell ref="O42:P42"/>
    <mergeCell ref="R42:S42"/>
    <mergeCell ref="U42:V42"/>
    <mergeCell ref="X42:Y42"/>
    <mergeCell ref="AA42:AB42"/>
    <mergeCell ref="F41:G41"/>
    <mergeCell ref="I41:J41"/>
    <mergeCell ref="L41:M41"/>
    <mergeCell ref="O41:P41"/>
    <mergeCell ref="R41:S41"/>
    <mergeCell ref="U41:V41"/>
    <mergeCell ref="F40:G40"/>
    <mergeCell ref="I40:J40"/>
    <mergeCell ref="L40:M40"/>
    <mergeCell ref="O40:P40"/>
    <mergeCell ref="R40:S40"/>
    <mergeCell ref="U40:V40"/>
    <mergeCell ref="X40:Y40"/>
    <mergeCell ref="AA40:AB40"/>
    <mergeCell ref="F39:G39"/>
    <mergeCell ref="I39:J39"/>
    <mergeCell ref="L39:M39"/>
    <mergeCell ref="O39:P39"/>
    <mergeCell ref="R39:S39"/>
    <mergeCell ref="U39:V39"/>
    <mergeCell ref="F38:G38"/>
    <mergeCell ref="I38:J38"/>
    <mergeCell ref="L38:M38"/>
    <mergeCell ref="O38:P38"/>
    <mergeCell ref="R38:S38"/>
    <mergeCell ref="U38:V38"/>
    <mergeCell ref="X38:Y38"/>
    <mergeCell ref="AA38:AB38"/>
    <mergeCell ref="X39:Y39"/>
    <mergeCell ref="AA39:AB39"/>
    <mergeCell ref="X33:Y33"/>
    <mergeCell ref="AA33:AB33"/>
    <mergeCell ref="E37:F37"/>
    <mergeCell ref="G37:I37"/>
    <mergeCell ref="J37:L37"/>
    <mergeCell ref="M37:O37"/>
    <mergeCell ref="P37:R37"/>
    <mergeCell ref="S37:U37"/>
    <mergeCell ref="V37:X37"/>
    <mergeCell ref="Y37:AA37"/>
    <mergeCell ref="F33:G33"/>
    <mergeCell ref="I33:J33"/>
    <mergeCell ref="L33:M33"/>
    <mergeCell ref="O33:P33"/>
    <mergeCell ref="R33:S33"/>
    <mergeCell ref="U33:V33"/>
    <mergeCell ref="AB37:AC37"/>
    <mergeCell ref="X31:Y31"/>
    <mergeCell ref="AA31:AB31"/>
    <mergeCell ref="F32:G32"/>
    <mergeCell ref="I32:J32"/>
    <mergeCell ref="L32:M32"/>
    <mergeCell ref="O32:P32"/>
    <mergeCell ref="R32:S32"/>
    <mergeCell ref="U32:V32"/>
    <mergeCell ref="X32:Y32"/>
    <mergeCell ref="AA32:AB32"/>
    <mergeCell ref="F31:G31"/>
    <mergeCell ref="I31:J31"/>
    <mergeCell ref="L31:M31"/>
    <mergeCell ref="O31:P31"/>
    <mergeCell ref="R31:S31"/>
    <mergeCell ref="U31:V31"/>
    <mergeCell ref="F30:G30"/>
    <mergeCell ref="I30:J30"/>
    <mergeCell ref="L30:M30"/>
    <mergeCell ref="O30:P30"/>
    <mergeCell ref="R30:S30"/>
    <mergeCell ref="U30:V30"/>
    <mergeCell ref="X30:Y30"/>
    <mergeCell ref="AA30:AB30"/>
    <mergeCell ref="F29:G29"/>
    <mergeCell ref="I29:J29"/>
    <mergeCell ref="L29:M29"/>
    <mergeCell ref="O29:P29"/>
    <mergeCell ref="R29:S29"/>
    <mergeCell ref="U29:V29"/>
    <mergeCell ref="F28:G28"/>
    <mergeCell ref="I28:J28"/>
    <mergeCell ref="L28:M28"/>
    <mergeCell ref="O28:P28"/>
    <mergeCell ref="R28:S28"/>
    <mergeCell ref="U28:V28"/>
    <mergeCell ref="X28:Y28"/>
    <mergeCell ref="AA28:AB28"/>
    <mergeCell ref="X29:Y29"/>
    <mergeCell ref="AA29:AB29"/>
    <mergeCell ref="X24:Y24"/>
    <mergeCell ref="AA24:AB24"/>
    <mergeCell ref="E27:F27"/>
    <mergeCell ref="G27:I27"/>
    <mergeCell ref="J27:L27"/>
    <mergeCell ref="M27:O27"/>
    <mergeCell ref="P27:R27"/>
    <mergeCell ref="S27:U27"/>
    <mergeCell ref="V27:X27"/>
    <mergeCell ref="Y27:AA27"/>
    <mergeCell ref="F24:G24"/>
    <mergeCell ref="I24:J24"/>
    <mergeCell ref="L24:M24"/>
    <mergeCell ref="O24:P24"/>
    <mergeCell ref="R24:S24"/>
    <mergeCell ref="U24:V24"/>
    <mergeCell ref="AB27:AC27"/>
    <mergeCell ref="X22:Y22"/>
    <mergeCell ref="AA22:AB22"/>
    <mergeCell ref="F23:G23"/>
    <mergeCell ref="I23:J23"/>
    <mergeCell ref="L23:M23"/>
    <mergeCell ref="O23:P23"/>
    <mergeCell ref="R23:S23"/>
    <mergeCell ref="U23:V23"/>
    <mergeCell ref="X23:Y23"/>
    <mergeCell ref="AA23:AB23"/>
    <mergeCell ref="F22:G22"/>
    <mergeCell ref="I22:J22"/>
    <mergeCell ref="L22:M22"/>
    <mergeCell ref="O22:P22"/>
    <mergeCell ref="R22:S22"/>
    <mergeCell ref="U22:V22"/>
    <mergeCell ref="F21:G21"/>
    <mergeCell ref="I21:J21"/>
    <mergeCell ref="L21:M21"/>
    <mergeCell ref="O21:P21"/>
    <mergeCell ref="R21:S21"/>
    <mergeCell ref="U21:V21"/>
    <mergeCell ref="X21:Y21"/>
    <mergeCell ref="AA21:AB21"/>
    <mergeCell ref="F20:G20"/>
    <mergeCell ref="I20:J20"/>
    <mergeCell ref="L20:M20"/>
    <mergeCell ref="O20:P20"/>
    <mergeCell ref="R20:S20"/>
    <mergeCell ref="U20:V20"/>
    <mergeCell ref="F19:G19"/>
    <mergeCell ref="I19:J19"/>
    <mergeCell ref="L19:M19"/>
    <mergeCell ref="O19:P19"/>
    <mergeCell ref="R19:S19"/>
    <mergeCell ref="U19:V19"/>
    <mergeCell ref="X19:Y19"/>
    <mergeCell ref="AA19:AB19"/>
    <mergeCell ref="X20:Y20"/>
    <mergeCell ref="AA20:AB20"/>
    <mergeCell ref="X14:Y14"/>
    <mergeCell ref="AA14:AB14"/>
    <mergeCell ref="E18:F18"/>
    <mergeCell ref="G18:I18"/>
    <mergeCell ref="J18:L18"/>
    <mergeCell ref="M18:O18"/>
    <mergeCell ref="P18:R18"/>
    <mergeCell ref="S18:U18"/>
    <mergeCell ref="V18:X18"/>
    <mergeCell ref="Y18:AA18"/>
    <mergeCell ref="F14:G14"/>
    <mergeCell ref="I14:J14"/>
    <mergeCell ref="L14:M14"/>
    <mergeCell ref="O14:P14"/>
    <mergeCell ref="R14:S14"/>
    <mergeCell ref="U14:V14"/>
    <mergeCell ref="AB18:AC18"/>
    <mergeCell ref="X12:Y12"/>
    <mergeCell ref="AA12:AB12"/>
    <mergeCell ref="F13:G13"/>
    <mergeCell ref="I13:J13"/>
    <mergeCell ref="L13:M13"/>
    <mergeCell ref="O13:P13"/>
    <mergeCell ref="R13:S13"/>
    <mergeCell ref="U13:V13"/>
    <mergeCell ref="X13:Y13"/>
    <mergeCell ref="AA13:AB13"/>
    <mergeCell ref="F12:G12"/>
    <mergeCell ref="I12:J12"/>
    <mergeCell ref="L12:M12"/>
    <mergeCell ref="O12:P12"/>
    <mergeCell ref="R12:S12"/>
    <mergeCell ref="U12:V12"/>
    <mergeCell ref="F11:G11"/>
    <mergeCell ref="I11:J11"/>
    <mergeCell ref="L11:M11"/>
    <mergeCell ref="O11:P11"/>
    <mergeCell ref="R11:S11"/>
    <mergeCell ref="U11:V11"/>
    <mergeCell ref="X11:Y11"/>
    <mergeCell ref="AA11:AB11"/>
    <mergeCell ref="F10:G10"/>
    <mergeCell ref="I10:J10"/>
    <mergeCell ref="L10:M10"/>
    <mergeCell ref="O10:P10"/>
    <mergeCell ref="R10:S10"/>
    <mergeCell ref="U10:V10"/>
    <mergeCell ref="F9:G9"/>
    <mergeCell ref="I9:J9"/>
    <mergeCell ref="L9:M9"/>
    <mergeCell ref="O9:P9"/>
    <mergeCell ref="R9:S9"/>
    <mergeCell ref="U9:V9"/>
    <mergeCell ref="X9:Y9"/>
    <mergeCell ref="AA9:AB9"/>
    <mergeCell ref="X10:Y10"/>
    <mergeCell ref="AA10:AB10"/>
    <mergeCell ref="C5:C8"/>
    <mergeCell ref="D5:D6"/>
    <mergeCell ref="E5:AC5"/>
    <mergeCell ref="AD5:AD6"/>
    <mergeCell ref="AE5:AE8"/>
    <mergeCell ref="E6:F6"/>
    <mergeCell ref="G6:I6"/>
    <mergeCell ref="J6:L6"/>
    <mergeCell ref="M6:O6"/>
    <mergeCell ref="P6:R6"/>
    <mergeCell ref="S6:U6"/>
    <mergeCell ref="V6:X6"/>
    <mergeCell ref="Y6:AA6"/>
    <mergeCell ref="AB6:AC6"/>
    <mergeCell ref="F8:G8"/>
    <mergeCell ref="I8:J8"/>
    <mergeCell ref="L8:M8"/>
    <mergeCell ref="O8:P8"/>
    <mergeCell ref="R8:S8"/>
    <mergeCell ref="U8:V8"/>
    <mergeCell ref="X8:Y8"/>
    <mergeCell ref="AA8:AB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D04B5-5063-41AD-BF9F-6D0705FF7372}">
  <sheetPr codeName="Arkusz2"/>
  <dimension ref="C6:O32"/>
  <sheetViews>
    <sheetView showGridLines="0" topLeftCell="B7" workbookViewId="0">
      <selection activeCell="Q24" sqref="Q24"/>
    </sheetView>
  </sheetViews>
  <sheetFormatPr defaultRowHeight="12.75" x14ac:dyDescent="0.2"/>
  <cols>
    <col min="4" max="4" width="15.28515625" customWidth="1"/>
    <col min="5" max="5" width="32.7109375" customWidth="1"/>
    <col min="6" max="12" width="4.28515625" bestFit="1" customWidth="1"/>
  </cols>
  <sheetData>
    <row r="6" spans="3:15" ht="18" x14ac:dyDescent="0.2">
      <c r="D6" s="199" t="s">
        <v>54</v>
      </c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</row>
    <row r="7" spans="3:15" x14ac:dyDescent="0.2"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3:15" x14ac:dyDescent="0.2"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3:15" ht="15.75" x14ac:dyDescent="0.2">
      <c r="C9" s="200" t="s">
        <v>63</v>
      </c>
      <c r="D9" s="200"/>
      <c r="E9" s="53"/>
      <c r="F9" s="1"/>
      <c r="G9" s="1"/>
      <c r="H9" s="1"/>
      <c r="I9" s="1"/>
      <c r="J9" s="1"/>
      <c r="K9" s="1"/>
      <c r="L9" s="1"/>
      <c r="M9" s="1"/>
      <c r="N9" s="1"/>
      <c r="O9" s="1"/>
    </row>
    <row r="10" spans="3:15" ht="193.5" customHeight="1" x14ac:dyDescent="0.2">
      <c r="D10" s="2"/>
      <c r="E10" s="79" t="s">
        <v>51</v>
      </c>
      <c r="F10" s="63" t="str">
        <f>E11</f>
        <v xml:space="preserve"> 1. Sieć Grawitacyjna</v>
      </c>
      <c r="G10" s="64" t="str">
        <f>E12</f>
        <v xml:space="preserve"> 2. Sieć Małośrednicowa</v>
      </c>
      <c r="H10" s="65" t="str">
        <f>E13</f>
        <v xml:space="preserve"> 3. Sieć Podciśnieniowa </v>
      </c>
      <c r="I10" s="66" t="str">
        <f>E14</f>
        <v xml:space="preserve"> 4. Sieć Niskociśnieniowa</v>
      </c>
      <c r="J10" s="67" t="str">
        <f>E15</f>
        <v xml:space="preserve"> 5. Sieć Wysokociśnieniowa</v>
      </c>
      <c r="K10" s="68" t="str">
        <f>E16</f>
        <v xml:space="preserve"> 6. Sieć Mieszana</v>
      </c>
      <c r="L10" s="69" t="str">
        <f>E17</f>
        <v xml:space="preserve"> 7. Oczyszczalnia Przydomowa </v>
      </c>
      <c r="M10" s="2"/>
      <c r="N10" s="2"/>
      <c r="O10" s="2"/>
    </row>
    <row r="11" spans="3:15" ht="20.100000000000001" customHeight="1" x14ac:dyDescent="0.2">
      <c r="D11" s="1"/>
      <c r="E11" s="55" t="s">
        <v>55</v>
      </c>
      <c r="F11" s="47">
        <v>1</v>
      </c>
      <c r="G11" s="48">
        <v>0.33333333333333331</v>
      </c>
      <c r="H11" s="48">
        <v>0.33333333333333331</v>
      </c>
      <c r="I11" s="48">
        <v>3</v>
      </c>
      <c r="J11" s="48">
        <v>7</v>
      </c>
      <c r="K11" s="48">
        <v>0.2</v>
      </c>
      <c r="L11" s="48">
        <v>7</v>
      </c>
      <c r="M11" s="1"/>
      <c r="N11" s="1"/>
      <c r="O11" s="1"/>
    </row>
    <row r="12" spans="3:15" ht="20.100000000000001" customHeight="1" x14ac:dyDescent="0.2">
      <c r="D12" s="1"/>
      <c r="E12" s="56" t="s">
        <v>62</v>
      </c>
      <c r="F12" s="48">
        <f>POWER(G11,-1)</f>
        <v>3</v>
      </c>
      <c r="G12" s="47">
        <v>1</v>
      </c>
      <c r="H12" s="48">
        <v>5</v>
      </c>
      <c r="I12" s="48">
        <v>3</v>
      </c>
      <c r="J12" s="48">
        <v>7</v>
      </c>
      <c r="K12" s="48">
        <v>0.2</v>
      </c>
      <c r="L12" s="48">
        <v>5</v>
      </c>
      <c r="M12" s="1"/>
      <c r="N12" s="1"/>
      <c r="O12" s="1"/>
    </row>
    <row r="13" spans="3:15" ht="20.100000000000001" customHeight="1" x14ac:dyDescent="0.2">
      <c r="D13" s="1"/>
      <c r="E13" s="57" t="s">
        <v>56</v>
      </c>
      <c r="F13" s="48">
        <f>POWER(H11,-1)</f>
        <v>3</v>
      </c>
      <c r="G13" s="48">
        <f>POWER(H12,-1)</f>
        <v>0.2</v>
      </c>
      <c r="H13" s="47">
        <v>1</v>
      </c>
      <c r="I13" s="48">
        <v>1</v>
      </c>
      <c r="J13" s="48">
        <v>5</v>
      </c>
      <c r="K13" s="48">
        <v>0.33333333333333331</v>
      </c>
      <c r="L13" s="48">
        <v>3</v>
      </c>
      <c r="M13" s="54"/>
      <c r="N13" s="1"/>
      <c r="O13" s="1"/>
    </row>
    <row r="14" spans="3:15" ht="20.100000000000001" customHeight="1" x14ac:dyDescent="0.2">
      <c r="D14" s="1"/>
      <c r="E14" s="58" t="s">
        <v>57</v>
      </c>
      <c r="F14" s="48">
        <f>POWER(I11,-1)</f>
        <v>0.33333333333333331</v>
      </c>
      <c r="G14" s="48">
        <f>POWER(I12,-1)</f>
        <v>0.33333333333333331</v>
      </c>
      <c r="H14" s="48">
        <f>POWER(I13,-1)</f>
        <v>1</v>
      </c>
      <c r="I14" s="47">
        <v>1</v>
      </c>
      <c r="J14" s="48">
        <v>3</v>
      </c>
      <c r="K14" s="49">
        <v>0.14285714285714285</v>
      </c>
      <c r="L14" s="50">
        <v>1</v>
      </c>
      <c r="M14" s="1"/>
      <c r="N14" s="1"/>
      <c r="O14" s="1"/>
    </row>
    <row r="15" spans="3:15" ht="20.100000000000001" customHeight="1" x14ac:dyDescent="0.2">
      <c r="D15" s="1"/>
      <c r="E15" s="59" t="s">
        <v>58</v>
      </c>
      <c r="F15" s="48">
        <f>POWER(J11,-1)</f>
        <v>0.14285714285714285</v>
      </c>
      <c r="G15" s="48">
        <f>POWER(J12,-1)</f>
        <v>0.14285714285714285</v>
      </c>
      <c r="H15" s="48">
        <f>POWER(J13,-1)</f>
        <v>0.2</v>
      </c>
      <c r="I15" s="48">
        <f>POWER(J14,-1)</f>
        <v>0.33333333333333331</v>
      </c>
      <c r="J15" s="47">
        <v>1</v>
      </c>
      <c r="K15" s="50">
        <v>7</v>
      </c>
      <c r="L15" s="49">
        <v>7</v>
      </c>
      <c r="M15" s="1"/>
      <c r="N15" s="1"/>
      <c r="O15" s="1"/>
    </row>
    <row r="16" spans="3:15" ht="20.100000000000001" customHeight="1" x14ac:dyDescent="0.2">
      <c r="D16" s="1"/>
      <c r="E16" s="60" t="s">
        <v>59</v>
      </c>
      <c r="F16" s="51">
        <f>POWER(K11,-1)</f>
        <v>5</v>
      </c>
      <c r="G16" s="51">
        <f>POWER(K12,-1)</f>
        <v>5</v>
      </c>
      <c r="H16" s="51">
        <f>POWER(K13,-1)</f>
        <v>3</v>
      </c>
      <c r="I16" s="51">
        <f>POWER(K14,-1)</f>
        <v>7</v>
      </c>
      <c r="J16" s="51">
        <f>POWER(K15,-1)</f>
        <v>0.14285714285714285</v>
      </c>
      <c r="K16" s="47">
        <v>1</v>
      </c>
      <c r="L16" s="52">
        <v>7</v>
      </c>
      <c r="M16" s="1"/>
      <c r="N16" s="1"/>
      <c r="O16" s="1"/>
    </row>
    <row r="17" spans="3:15" ht="20.100000000000001" customHeight="1" x14ac:dyDescent="0.2">
      <c r="D17" s="1"/>
      <c r="E17" s="61" t="s">
        <v>60</v>
      </c>
      <c r="F17" s="48">
        <f>POWER(L11,-1)</f>
        <v>0.14285714285714285</v>
      </c>
      <c r="G17" s="48">
        <f>POWER(L12,-1)</f>
        <v>0.2</v>
      </c>
      <c r="H17" s="48">
        <f>POWER(L13,-1)</f>
        <v>0.33333333333333331</v>
      </c>
      <c r="I17" s="48">
        <f>POWER(L14,-1)</f>
        <v>1</v>
      </c>
      <c r="J17" s="48">
        <f>POWER(L15,-1)</f>
        <v>0.14285714285714285</v>
      </c>
      <c r="K17" s="48">
        <f>POWER(L16,-1)</f>
        <v>0.14285714285714285</v>
      </c>
      <c r="L17" s="47">
        <v>1</v>
      </c>
      <c r="M17" s="1"/>
      <c r="N17" s="1"/>
      <c r="O17" s="1"/>
    </row>
    <row r="18" spans="3:15" x14ac:dyDescent="0.2"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3:15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3:15" ht="18.75" x14ac:dyDescent="0.2">
      <c r="C20" s="71" t="s">
        <v>64</v>
      </c>
      <c r="D20" s="70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3:15" ht="166.5" customHeight="1" x14ac:dyDescent="0.2">
      <c r="D21" s="2"/>
      <c r="E21" s="79" t="s">
        <v>51</v>
      </c>
      <c r="F21" s="63" t="str">
        <f>E22</f>
        <v xml:space="preserve"> 1. Sieć Grawitacyjna</v>
      </c>
      <c r="G21" s="64" t="str">
        <f>E23</f>
        <v xml:space="preserve"> 2. Sieć Małośrednicowa</v>
      </c>
      <c r="H21" s="65" t="str">
        <f>E24</f>
        <v xml:space="preserve"> 3. Sieć Podciśnieniowa </v>
      </c>
      <c r="I21" s="66" t="str">
        <f>E25</f>
        <v xml:space="preserve"> 4. Sieć Niskociśnieniowa</v>
      </c>
      <c r="J21" s="67" t="str">
        <f>E26</f>
        <v xml:space="preserve"> 5. Sieć Wysokociśnieniowa</v>
      </c>
      <c r="K21" s="68" t="str">
        <f>E27</f>
        <v xml:space="preserve"> 6. Sieć Mieszana</v>
      </c>
      <c r="L21" s="69" t="str">
        <f>E28</f>
        <v xml:space="preserve"> 7. Oczyszczalnia Przydomowa </v>
      </c>
      <c r="M21" s="2"/>
      <c r="N21" s="2"/>
      <c r="O21" s="2"/>
    </row>
    <row r="22" spans="3:15" ht="20.100000000000001" customHeight="1" x14ac:dyDescent="0.2">
      <c r="D22" s="1"/>
      <c r="E22" s="55" t="s">
        <v>55</v>
      </c>
      <c r="F22" s="47">
        <v>1</v>
      </c>
      <c r="G22" s="48">
        <v>2</v>
      </c>
      <c r="H22" s="48">
        <v>1</v>
      </c>
      <c r="I22" s="48">
        <v>2</v>
      </c>
      <c r="J22" s="48">
        <v>0.5</v>
      </c>
      <c r="K22" s="48">
        <v>1</v>
      </c>
      <c r="L22" s="48">
        <v>2</v>
      </c>
      <c r="M22" s="1"/>
      <c r="N22" s="1"/>
      <c r="O22" s="1"/>
    </row>
    <row r="23" spans="3:15" ht="20.100000000000001" customHeight="1" x14ac:dyDescent="0.2">
      <c r="D23" s="1"/>
      <c r="E23" s="56" t="s">
        <v>62</v>
      </c>
      <c r="F23" s="48">
        <f>POWER(G22,-1)</f>
        <v>0.5</v>
      </c>
      <c r="G23" s="47">
        <v>1</v>
      </c>
      <c r="H23" s="48">
        <v>2</v>
      </c>
      <c r="I23" s="48">
        <v>2</v>
      </c>
      <c r="J23" s="48">
        <v>0.5</v>
      </c>
      <c r="K23" s="48">
        <v>1</v>
      </c>
      <c r="L23" s="48">
        <v>1</v>
      </c>
      <c r="M23" s="1"/>
      <c r="N23" s="1"/>
      <c r="O23" s="1"/>
    </row>
    <row r="24" spans="3:15" ht="20.100000000000001" customHeight="1" x14ac:dyDescent="0.2">
      <c r="D24" s="1"/>
      <c r="E24" s="57" t="s">
        <v>56</v>
      </c>
      <c r="F24" s="48">
        <f>POWER(H22,-1)</f>
        <v>1</v>
      </c>
      <c r="G24" s="48">
        <f>POWER(H23,-1)</f>
        <v>0.5</v>
      </c>
      <c r="H24" s="47">
        <v>1</v>
      </c>
      <c r="I24" s="48">
        <v>4</v>
      </c>
      <c r="J24" s="48">
        <v>1</v>
      </c>
      <c r="K24" s="48">
        <v>3</v>
      </c>
      <c r="L24" s="48">
        <v>4</v>
      </c>
      <c r="M24" s="1"/>
      <c r="N24" s="1"/>
      <c r="O24" s="1"/>
    </row>
    <row r="25" spans="3:15" ht="20.100000000000001" customHeight="1" x14ac:dyDescent="0.2">
      <c r="D25" s="1"/>
      <c r="E25" s="58" t="s">
        <v>57</v>
      </c>
      <c r="F25" s="48">
        <f>POWER(I22,-1)</f>
        <v>0.5</v>
      </c>
      <c r="G25" s="48">
        <f>POWER(I23,-1)</f>
        <v>0.5</v>
      </c>
      <c r="H25" s="48">
        <f>POWER(I24,-1)</f>
        <v>0.25</v>
      </c>
      <c r="I25" s="47">
        <v>1</v>
      </c>
      <c r="J25" s="48">
        <v>1</v>
      </c>
      <c r="K25" s="49">
        <v>1</v>
      </c>
      <c r="L25" s="50">
        <v>1</v>
      </c>
      <c r="M25" s="1"/>
      <c r="N25" s="1"/>
      <c r="O25" s="1"/>
    </row>
    <row r="26" spans="3:15" ht="20.100000000000001" customHeight="1" x14ac:dyDescent="0.2">
      <c r="D26" s="1"/>
      <c r="E26" s="59" t="s">
        <v>58</v>
      </c>
      <c r="F26" s="48">
        <f>POWER(J22,-1)</f>
        <v>2</v>
      </c>
      <c r="G26" s="48">
        <f>POWER(J23,-1)</f>
        <v>2</v>
      </c>
      <c r="H26" s="48">
        <f>POWER(J24,-1)</f>
        <v>1</v>
      </c>
      <c r="I26" s="48">
        <f>POWER(J25,-1)</f>
        <v>1</v>
      </c>
      <c r="J26" s="47">
        <v>1</v>
      </c>
      <c r="K26" s="50">
        <v>3</v>
      </c>
      <c r="L26" s="49">
        <v>2</v>
      </c>
      <c r="M26" s="1"/>
      <c r="N26" s="1"/>
      <c r="O26" s="1"/>
    </row>
    <row r="27" spans="3:15" ht="20.100000000000001" customHeight="1" x14ac:dyDescent="0.2">
      <c r="D27" s="1"/>
      <c r="E27" s="60" t="s">
        <v>59</v>
      </c>
      <c r="F27" s="51">
        <f>POWER(K22,-1)</f>
        <v>1</v>
      </c>
      <c r="G27" s="51">
        <f>POWER(K23,-1)</f>
        <v>1</v>
      </c>
      <c r="H27" s="51">
        <f>POWER(K24,-1)</f>
        <v>0.33333333333333331</v>
      </c>
      <c r="I27" s="51">
        <f>POWER(K25,-1)</f>
        <v>1</v>
      </c>
      <c r="J27" s="51">
        <f>POWER(K26,-1)</f>
        <v>0.33333333333333331</v>
      </c>
      <c r="K27" s="47">
        <v>1</v>
      </c>
      <c r="L27" s="52">
        <v>2</v>
      </c>
      <c r="M27" s="1"/>
      <c r="N27" s="1"/>
      <c r="O27" s="1"/>
    </row>
    <row r="28" spans="3:15" ht="20.100000000000001" customHeight="1" x14ac:dyDescent="0.2">
      <c r="D28" s="1"/>
      <c r="E28" s="61" t="s">
        <v>60</v>
      </c>
      <c r="F28" s="48">
        <f>POWER(L22,-1)</f>
        <v>0.5</v>
      </c>
      <c r="G28" s="48">
        <f>POWER(L23,-1)</f>
        <v>1</v>
      </c>
      <c r="H28" s="48">
        <f>POWER(L24,-1)</f>
        <v>0.25</v>
      </c>
      <c r="I28" s="48">
        <f>POWER(L25,-1)</f>
        <v>1</v>
      </c>
      <c r="J28" s="48">
        <f>POWER(L26,-1)</f>
        <v>0.5</v>
      </c>
      <c r="K28" s="48">
        <f>POWER(L27,-1)</f>
        <v>0.5</v>
      </c>
      <c r="L28" s="47">
        <v>1</v>
      </c>
      <c r="M28" s="1"/>
      <c r="N28" s="1"/>
      <c r="O28" s="1"/>
    </row>
    <row r="29" spans="3:15" x14ac:dyDescent="0.2"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3:15" x14ac:dyDescent="0.2"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3:15" x14ac:dyDescent="0.2"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3:15" x14ac:dyDescent="0.2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</sheetData>
  <mergeCells count="2">
    <mergeCell ref="D6:O6"/>
    <mergeCell ref="C9:D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50208-1E68-41E0-9A80-8EAC526314EF}">
  <sheetPr codeName="Arkusz5"/>
  <dimension ref="A2:AM39"/>
  <sheetViews>
    <sheetView showGridLines="0" topLeftCell="A9" zoomScaleNormal="100" workbookViewId="0">
      <selection activeCell="E28" sqref="E28"/>
    </sheetView>
  </sheetViews>
  <sheetFormatPr defaultRowHeight="12.75" x14ac:dyDescent="0.2"/>
  <cols>
    <col min="1" max="3" width="9.140625" style="141"/>
    <col min="4" max="4" width="29.28515625" style="141" customWidth="1"/>
    <col min="5" max="6" width="7.140625" style="141" bestFit="1" customWidth="1"/>
    <col min="7" max="7" width="6.5703125" style="141" bestFit="1" customWidth="1"/>
    <col min="8" max="11" width="7.140625" style="141" bestFit="1" customWidth="1"/>
    <col min="12" max="12" width="11.140625" style="141" customWidth="1"/>
    <col min="13" max="14" width="9.140625" style="141"/>
    <col min="15" max="15" width="9.85546875" style="141" customWidth="1"/>
    <col min="16" max="20" width="9.140625" style="141"/>
    <col min="21" max="21" width="9.7109375" style="141" bestFit="1" customWidth="1"/>
    <col min="22" max="16384" width="9.140625" style="141"/>
  </cols>
  <sheetData>
    <row r="2" spans="1:36" x14ac:dyDescent="0.2">
      <c r="D2" s="201" t="s">
        <v>61</v>
      </c>
    </row>
    <row r="3" spans="1:36" x14ac:dyDescent="0.2">
      <c r="D3" s="201"/>
    </row>
    <row r="4" spans="1:36" x14ac:dyDescent="0.2">
      <c r="D4" s="201"/>
    </row>
    <row r="5" spans="1:36" x14ac:dyDescent="0.2">
      <c r="D5" s="201"/>
    </row>
    <row r="6" spans="1:36" x14ac:dyDescent="0.2">
      <c r="A6" s="80"/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</row>
    <row r="7" spans="1:36" ht="189" customHeight="1" x14ac:dyDescent="0.2">
      <c r="A7" s="80"/>
      <c r="B7" s="80"/>
      <c r="C7" s="80"/>
      <c r="D7" s="81" t="s">
        <v>51</v>
      </c>
      <c r="E7" s="82" t="str">
        <f>D8</f>
        <v xml:space="preserve"> 1. Sieć Grawitacyjna</v>
      </c>
      <c r="F7" s="83" t="str">
        <f>D9</f>
        <v xml:space="preserve"> 2. Sieć Małośrednicowa</v>
      </c>
      <c r="G7" s="84" t="str">
        <f>D10</f>
        <v xml:space="preserve"> 3. Sieć Podciśnieniowa </v>
      </c>
      <c r="H7" s="85" t="str">
        <f>D11</f>
        <v xml:space="preserve"> 4. Sieć Niskociśnieniowa</v>
      </c>
      <c r="I7" s="86" t="str">
        <f>D12</f>
        <v xml:space="preserve"> 5. Sieć Wysokociśnieniowa</v>
      </c>
      <c r="J7" s="87" t="str">
        <f>D13</f>
        <v xml:space="preserve"> 6. Sieć Mieszana</v>
      </c>
      <c r="K7" s="88" t="str">
        <f>D14</f>
        <v xml:space="preserve"> 7. Oczyszczalnia Przydomowa </v>
      </c>
      <c r="L7" s="80"/>
      <c r="M7" s="80"/>
      <c r="N7" s="80"/>
      <c r="O7" s="80"/>
      <c r="P7" s="162"/>
      <c r="Q7" s="162"/>
      <c r="R7" s="80"/>
      <c r="S7" s="80"/>
      <c r="T7" s="80"/>
      <c r="U7" s="80"/>
      <c r="V7" s="80"/>
      <c r="W7" s="80"/>
      <c r="X7" s="80"/>
    </row>
    <row r="8" spans="1:36" ht="20.100000000000001" customHeight="1" x14ac:dyDescent="0.2">
      <c r="A8" s="80"/>
      <c r="B8" s="80"/>
      <c r="C8" s="80"/>
      <c r="D8" s="89" t="s">
        <v>55</v>
      </c>
      <c r="E8" s="163">
        <f>Wartosci_kryteriow!F22</f>
        <v>1</v>
      </c>
      <c r="F8" s="164">
        <f>Wartosci_kryteriow!G22</f>
        <v>2</v>
      </c>
      <c r="G8" s="164">
        <f>Wartosci_kryteriow!H22</f>
        <v>1</v>
      </c>
      <c r="H8" s="164">
        <f>Wartosci_kryteriow!I22</f>
        <v>2</v>
      </c>
      <c r="I8" s="164">
        <f>Wartosci_kryteriow!J22</f>
        <v>0.5</v>
      </c>
      <c r="J8" s="164">
        <f>Wartosci_kryteriow!K22</f>
        <v>1</v>
      </c>
      <c r="K8" s="164">
        <f>Wartosci_kryteriow!L22</f>
        <v>2</v>
      </c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</row>
    <row r="9" spans="1:36" ht="20.100000000000001" customHeight="1" x14ac:dyDescent="0.2">
      <c r="A9" s="80"/>
      <c r="B9" s="80"/>
      <c r="C9" s="80"/>
      <c r="D9" s="90" t="s">
        <v>62</v>
      </c>
      <c r="E9" s="164">
        <f>Wartosci_kryteriow!F23</f>
        <v>0.5</v>
      </c>
      <c r="F9" s="163">
        <f>Wartosci_kryteriow!G23</f>
        <v>1</v>
      </c>
      <c r="G9" s="164">
        <f>Wartosci_kryteriow!H23</f>
        <v>2</v>
      </c>
      <c r="H9" s="164">
        <f>Wartosci_kryteriow!I23</f>
        <v>2</v>
      </c>
      <c r="I9" s="164">
        <f>Wartosci_kryteriow!J23</f>
        <v>0.5</v>
      </c>
      <c r="J9" s="164">
        <f>Wartosci_kryteriow!K23</f>
        <v>1</v>
      </c>
      <c r="K9" s="164">
        <f>Wartosci_kryteriow!L23</f>
        <v>1</v>
      </c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</row>
    <row r="10" spans="1:36" ht="20.100000000000001" customHeight="1" x14ac:dyDescent="0.2">
      <c r="A10" s="80"/>
      <c r="B10" s="80"/>
      <c r="C10" s="80"/>
      <c r="D10" s="91" t="s">
        <v>56</v>
      </c>
      <c r="E10" s="164">
        <f>Wartosci_kryteriow!F24</f>
        <v>1</v>
      </c>
      <c r="F10" s="164">
        <f>Wartosci_kryteriow!G24</f>
        <v>0.5</v>
      </c>
      <c r="G10" s="163">
        <f>Wartosci_kryteriow!H24</f>
        <v>1</v>
      </c>
      <c r="H10" s="164">
        <f>Wartosci_kryteriow!I24</f>
        <v>4</v>
      </c>
      <c r="I10" s="164">
        <f>Wartosci_kryteriow!J24</f>
        <v>1</v>
      </c>
      <c r="J10" s="164">
        <f>Wartosci_kryteriow!K24</f>
        <v>3</v>
      </c>
      <c r="K10" s="164">
        <f>Wartosci_kryteriow!L24</f>
        <v>4</v>
      </c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</row>
    <row r="11" spans="1:36" ht="20.100000000000001" customHeight="1" x14ac:dyDescent="0.2">
      <c r="A11" s="80"/>
      <c r="B11" s="80"/>
      <c r="C11" s="80"/>
      <c r="D11" s="92" t="s">
        <v>57</v>
      </c>
      <c r="E11" s="164">
        <f>Wartosci_kryteriow!F25</f>
        <v>0.5</v>
      </c>
      <c r="F11" s="164">
        <f>Wartosci_kryteriow!G25</f>
        <v>0.5</v>
      </c>
      <c r="G11" s="164">
        <f>Wartosci_kryteriow!H25</f>
        <v>0.25</v>
      </c>
      <c r="H11" s="163">
        <f>Wartosci_kryteriow!I25</f>
        <v>1</v>
      </c>
      <c r="I11" s="164">
        <f>Wartosci_kryteriow!J25</f>
        <v>1</v>
      </c>
      <c r="J11" s="164">
        <f>Wartosci_kryteriow!K25</f>
        <v>1</v>
      </c>
      <c r="K11" s="164">
        <f>Wartosci_kryteriow!L25</f>
        <v>1</v>
      </c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</row>
    <row r="12" spans="1:36" ht="20.100000000000001" customHeight="1" x14ac:dyDescent="0.2">
      <c r="A12" s="80"/>
      <c r="B12" s="80"/>
      <c r="C12" s="80"/>
      <c r="D12" s="93" t="s">
        <v>58</v>
      </c>
      <c r="E12" s="164">
        <f>Wartosci_kryteriow!F26</f>
        <v>2</v>
      </c>
      <c r="F12" s="164">
        <f>Wartosci_kryteriow!G26</f>
        <v>2</v>
      </c>
      <c r="G12" s="164">
        <f>Wartosci_kryteriow!H26</f>
        <v>1</v>
      </c>
      <c r="H12" s="164">
        <f>Wartosci_kryteriow!I26</f>
        <v>1</v>
      </c>
      <c r="I12" s="163">
        <f>Wartosci_kryteriow!J26</f>
        <v>1</v>
      </c>
      <c r="J12" s="164">
        <f>Wartosci_kryteriow!K26</f>
        <v>3</v>
      </c>
      <c r="K12" s="164">
        <f>Wartosci_kryteriow!L26</f>
        <v>2</v>
      </c>
      <c r="L12" s="80"/>
      <c r="M12" s="80"/>
      <c r="N12" s="80"/>
      <c r="O12" s="80"/>
      <c r="P12" s="80"/>
      <c r="Q12" s="80"/>
      <c r="R12" s="80"/>
      <c r="S12" s="80"/>
      <c r="T12" s="80"/>
      <c r="U12" s="165"/>
      <c r="V12" s="165"/>
      <c r="W12" s="165"/>
      <c r="X12" s="165"/>
      <c r="Y12" s="142"/>
      <c r="Z12" s="142"/>
      <c r="AA12" s="142"/>
      <c r="AB12" s="142"/>
      <c r="AI12" s="142"/>
      <c r="AJ12" s="142"/>
    </row>
    <row r="13" spans="1:36" ht="20.100000000000001" customHeight="1" x14ac:dyDescent="0.2">
      <c r="A13" s="80"/>
      <c r="B13" s="80"/>
      <c r="C13" s="80"/>
      <c r="D13" s="94" t="s">
        <v>59</v>
      </c>
      <c r="E13" s="164">
        <f>Wartosci_kryteriow!F27</f>
        <v>1</v>
      </c>
      <c r="F13" s="164">
        <f>Wartosci_kryteriow!G27</f>
        <v>1</v>
      </c>
      <c r="G13" s="164">
        <f>Wartosci_kryteriow!H27</f>
        <v>0.33333333333333331</v>
      </c>
      <c r="H13" s="164">
        <f>Wartosci_kryteriow!I27</f>
        <v>1</v>
      </c>
      <c r="I13" s="164">
        <f>Wartosci_kryteriow!J27</f>
        <v>0.33333333333333331</v>
      </c>
      <c r="J13" s="163">
        <f>Wartosci_kryteriow!K27</f>
        <v>1</v>
      </c>
      <c r="K13" s="164">
        <f>Wartosci_kryteriow!L27</f>
        <v>2</v>
      </c>
      <c r="L13" s="80"/>
      <c r="M13" s="80"/>
      <c r="N13" s="80"/>
      <c r="O13" s="80"/>
      <c r="P13" s="80"/>
      <c r="Q13" s="80"/>
      <c r="R13" s="80"/>
      <c r="S13" s="80"/>
      <c r="T13" s="80"/>
      <c r="U13" s="165"/>
      <c r="V13" s="165"/>
      <c r="W13" s="165"/>
      <c r="X13" s="165"/>
      <c r="Y13" s="142"/>
      <c r="Z13" s="142"/>
      <c r="AA13" s="142"/>
      <c r="AB13" s="142"/>
      <c r="AI13" s="142"/>
      <c r="AJ13" s="142"/>
    </row>
    <row r="14" spans="1:36" ht="20.100000000000001" customHeight="1" x14ac:dyDescent="0.2">
      <c r="A14" s="80"/>
      <c r="B14" s="80"/>
      <c r="C14" s="80"/>
      <c r="D14" s="95" t="s">
        <v>60</v>
      </c>
      <c r="E14" s="164">
        <f>Wartosci_kryteriow!F28</f>
        <v>0.5</v>
      </c>
      <c r="F14" s="164">
        <f>Wartosci_kryteriow!G28</f>
        <v>1</v>
      </c>
      <c r="G14" s="164">
        <f>Wartosci_kryteriow!H28</f>
        <v>0.25</v>
      </c>
      <c r="H14" s="164">
        <f>Wartosci_kryteriow!I28</f>
        <v>1</v>
      </c>
      <c r="I14" s="164">
        <f>Wartosci_kryteriow!J28</f>
        <v>0.5</v>
      </c>
      <c r="J14" s="164">
        <f>Wartosci_kryteriow!K28</f>
        <v>0.5</v>
      </c>
      <c r="K14" s="163">
        <f>Wartosci_kryteriow!L28</f>
        <v>1</v>
      </c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AI14" s="142"/>
      <c r="AJ14" s="142"/>
    </row>
    <row r="15" spans="1:36" x14ac:dyDescent="0.2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AI15" s="142"/>
      <c r="AJ15" s="142"/>
    </row>
    <row r="16" spans="1:36" ht="24.95" customHeight="1" x14ac:dyDescent="0.2">
      <c r="A16" s="80"/>
      <c r="B16" s="80"/>
      <c r="C16" s="96" t="s">
        <v>52</v>
      </c>
      <c r="D16" s="80"/>
      <c r="E16" s="80"/>
      <c r="F16" s="80"/>
      <c r="G16" s="80"/>
      <c r="H16" s="80"/>
      <c r="I16" s="80"/>
      <c r="J16" s="80"/>
      <c r="K16" s="80"/>
      <c r="L16" s="97" t="s">
        <v>44</v>
      </c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AI16" s="142"/>
      <c r="AJ16" s="142"/>
    </row>
    <row r="17" spans="1:39" ht="20.100000000000001" customHeight="1" x14ac:dyDescent="0.2">
      <c r="A17" s="80"/>
      <c r="B17" s="80"/>
      <c r="C17" s="80"/>
      <c r="D17" s="98" t="str">
        <f t="shared" ref="D17:K23" si="0">D8</f>
        <v xml:space="preserve"> 1. Sieć Grawitacyjna</v>
      </c>
      <c r="E17" s="99">
        <f t="shared" si="0"/>
        <v>1</v>
      </c>
      <c r="F17" s="173">
        <f t="shared" si="0"/>
        <v>2</v>
      </c>
      <c r="G17" s="173">
        <f t="shared" si="0"/>
        <v>1</v>
      </c>
      <c r="H17" s="100">
        <f t="shared" si="0"/>
        <v>2</v>
      </c>
      <c r="I17" s="100">
        <f t="shared" si="0"/>
        <v>0.5</v>
      </c>
      <c r="J17" s="173">
        <f t="shared" si="0"/>
        <v>1</v>
      </c>
      <c r="K17" s="100">
        <f t="shared" si="0"/>
        <v>2</v>
      </c>
      <c r="L17" s="101">
        <f>SUM(E17:K17)</f>
        <v>9.5</v>
      </c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AF17" s="142"/>
      <c r="AG17" s="142"/>
      <c r="AH17" s="142"/>
      <c r="AI17" s="142"/>
      <c r="AJ17" s="142"/>
    </row>
    <row r="18" spans="1:39" ht="20.100000000000001" customHeight="1" x14ac:dyDescent="0.2">
      <c r="A18" s="80"/>
      <c r="B18" s="80"/>
      <c r="C18" s="80"/>
      <c r="D18" s="102" t="str">
        <f t="shared" si="0"/>
        <v xml:space="preserve"> 2. Sieć Małośrednicowa</v>
      </c>
      <c r="E18" s="100">
        <f t="shared" si="0"/>
        <v>0.5</v>
      </c>
      <c r="F18" s="99">
        <f t="shared" si="0"/>
        <v>1</v>
      </c>
      <c r="G18" s="100">
        <f t="shared" si="0"/>
        <v>2</v>
      </c>
      <c r="H18" s="100">
        <f t="shared" si="0"/>
        <v>2</v>
      </c>
      <c r="I18" s="100">
        <f t="shared" si="0"/>
        <v>0.5</v>
      </c>
      <c r="J18" s="173">
        <f t="shared" si="0"/>
        <v>1</v>
      </c>
      <c r="K18" s="100">
        <f t="shared" si="0"/>
        <v>1</v>
      </c>
      <c r="L18" s="101">
        <f t="shared" ref="L18:L23" si="1">SUM(E18:K18)</f>
        <v>8</v>
      </c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</row>
    <row r="19" spans="1:39" ht="20.100000000000001" customHeight="1" x14ac:dyDescent="0.2">
      <c r="A19" s="80"/>
      <c r="B19" s="80"/>
      <c r="C19" s="80"/>
      <c r="D19" s="103" t="str">
        <f t="shared" si="0"/>
        <v xml:space="preserve"> 3. Sieć Podciśnieniowa </v>
      </c>
      <c r="E19" s="100">
        <f t="shared" si="0"/>
        <v>1</v>
      </c>
      <c r="F19" s="104">
        <f t="shared" si="0"/>
        <v>0.5</v>
      </c>
      <c r="G19" s="99">
        <f t="shared" si="0"/>
        <v>1</v>
      </c>
      <c r="H19" s="105">
        <f>H10</f>
        <v>4</v>
      </c>
      <c r="I19" s="105">
        <f t="shared" si="0"/>
        <v>1</v>
      </c>
      <c r="J19" s="126">
        <f t="shared" si="0"/>
        <v>3</v>
      </c>
      <c r="K19" s="105">
        <f t="shared" si="0"/>
        <v>4</v>
      </c>
      <c r="L19" s="101">
        <f t="shared" si="1"/>
        <v>14.5</v>
      </c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</row>
    <row r="20" spans="1:39" ht="20.100000000000001" customHeight="1" x14ac:dyDescent="0.2">
      <c r="A20" s="80"/>
      <c r="B20" s="80"/>
      <c r="C20" s="80"/>
      <c r="D20" s="106" t="str">
        <f t="shared" si="0"/>
        <v xml:space="preserve"> 4. Sieć Niskociśnieniowa</v>
      </c>
      <c r="E20" s="104">
        <f t="shared" si="0"/>
        <v>0.5</v>
      </c>
      <c r="F20" s="104">
        <f t="shared" si="0"/>
        <v>0.5</v>
      </c>
      <c r="G20" s="107">
        <f t="shared" si="0"/>
        <v>0.25</v>
      </c>
      <c r="H20" s="108">
        <f t="shared" si="0"/>
        <v>1</v>
      </c>
      <c r="I20" s="100">
        <f>I11</f>
        <v>1</v>
      </c>
      <c r="J20" s="173">
        <f>J11</f>
        <v>1</v>
      </c>
      <c r="K20" s="100">
        <f t="shared" si="0"/>
        <v>1</v>
      </c>
      <c r="L20" s="101">
        <f t="shared" si="1"/>
        <v>5.25</v>
      </c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</row>
    <row r="21" spans="1:39" ht="20.100000000000001" customHeight="1" x14ac:dyDescent="0.2">
      <c r="A21" s="80"/>
      <c r="B21" s="80"/>
      <c r="C21" s="80"/>
      <c r="D21" s="109" t="str">
        <f t="shared" si="0"/>
        <v xml:space="preserve"> 5. Sieć Wysokociśnieniowa</v>
      </c>
      <c r="E21" s="107">
        <f t="shared" si="0"/>
        <v>2</v>
      </c>
      <c r="F21" s="107">
        <f t="shared" si="0"/>
        <v>2</v>
      </c>
      <c r="G21" s="107">
        <f t="shared" si="0"/>
        <v>1</v>
      </c>
      <c r="H21" s="100">
        <f t="shared" si="0"/>
        <v>1</v>
      </c>
      <c r="I21" s="108">
        <f t="shared" si="0"/>
        <v>1</v>
      </c>
      <c r="J21" s="100">
        <f t="shared" si="0"/>
        <v>3</v>
      </c>
      <c r="K21" s="100">
        <f t="shared" si="0"/>
        <v>2</v>
      </c>
      <c r="L21" s="101">
        <f t="shared" si="1"/>
        <v>12</v>
      </c>
      <c r="M21" s="80"/>
      <c r="N21" s="80"/>
      <c r="O21" s="110"/>
      <c r="P21" s="80"/>
      <c r="Q21" s="80"/>
      <c r="R21" s="80"/>
      <c r="S21" s="80"/>
      <c r="T21" s="80"/>
      <c r="U21" s="80"/>
      <c r="V21" s="80"/>
      <c r="W21" s="80"/>
      <c r="X21" s="80"/>
    </row>
    <row r="22" spans="1:39" ht="20.100000000000001" customHeight="1" x14ac:dyDescent="0.2">
      <c r="A22" s="80"/>
      <c r="B22" s="80"/>
      <c r="C22" s="80"/>
      <c r="D22" s="94" t="str">
        <f t="shared" si="0"/>
        <v xml:space="preserve"> 6. Sieć Mieszana</v>
      </c>
      <c r="E22" s="111">
        <f t="shared" si="0"/>
        <v>1</v>
      </c>
      <c r="F22" s="111">
        <f t="shared" si="0"/>
        <v>1</v>
      </c>
      <c r="G22" s="111">
        <f t="shared" si="0"/>
        <v>0.33333333333333331</v>
      </c>
      <c r="H22" s="111">
        <f t="shared" si="0"/>
        <v>1</v>
      </c>
      <c r="I22" s="112">
        <f t="shared" si="0"/>
        <v>0.33333333333333331</v>
      </c>
      <c r="J22" s="113">
        <f t="shared" si="0"/>
        <v>1</v>
      </c>
      <c r="K22" s="111">
        <f t="shared" si="0"/>
        <v>2</v>
      </c>
      <c r="L22" s="101">
        <f t="shared" si="1"/>
        <v>6.666666666666667</v>
      </c>
      <c r="M22" s="80"/>
      <c r="N22" s="114"/>
      <c r="O22" s="80"/>
      <c r="P22" s="80"/>
      <c r="Q22" s="80"/>
      <c r="R22" s="80"/>
      <c r="S22" s="80"/>
      <c r="T22" s="80"/>
      <c r="U22" s="80"/>
      <c r="V22" s="80"/>
      <c r="W22" s="80"/>
      <c r="X22" s="80"/>
    </row>
    <row r="23" spans="1:39" ht="20.100000000000001" customHeight="1" x14ac:dyDescent="0.2">
      <c r="A23" s="80"/>
      <c r="B23" s="80"/>
      <c r="C23" s="80"/>
      <c r="D23" s="95" t="str">
        <f t="shared" si="0"/>
        <v xml:space="preserve"> 7. Oczyszczalnia Przydomowa </v>
      </c>
      <c r="E23" s="104">
        <f t="shared" si="0"/>
        <v>0.5</v>
      </c>
      <c r="F23" s="100">
        <f t="shared" si="0"/>
        <v>1</v>
      </c>
      <c r="G23" s="107">
        <f t="shared" si="0"/>
        <v>0.25</v>
      </c>
      <c r="H23" s="100">
        <f t="shared" si="0"/>
        <v>1</v>
      </c>
      <c r="I23" s="104">
        <f t="shared" si="0"/>
        <v>0.5</v>
      </c>
      <c r="J23" s="104">
        <f t="shared" si="0"/>
        <v>0.5</v>
      </c>
      <c r="K23" s="108">
        <f t="shared" si="0"/>
        <v>1</v>
      </c>
      <c r="L23" s="101">
        <f t="shared" si="1"/>
        <v>4.75</v>
      </c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</row>
    <row r="24" spans="1:39" ht="20.100000000000001" customHeight="1" x14ac:dyDescent="0.2">
      <c r="A24" s="80"/>
      <c r="B24" s="80"/>
      <c r="C24" s="80"/>
      <c r="D24" s="115" t="s">
        <v>43</v>
      </c>
      <c r="E24" s="101">
        <f>SUM(E17:E23)</f>
        <v>6.5</v>
      </c>
      <c r="F24" s="101">
        <f t="shared" ref="F24:L24" si="2">SUM(F17:F23)</f>
        <v>8</v>
      </c>
      <c r="G24" s="101">
        <f t="shared" si="2"/>
        <v>5.833333333333333</v>
      </c>
      <c r="H24" s="101">
        <f t="shared" si="2"/>
        <v>12</v>
      </c>
      <c r="I24" s="101">
        <f t="shared" si="2"/>
        <v>4.833333333333333</v>
      </c>
      <c r="J24" s="101">
        <f t="shared" si="2"/>
        <v>10.5</v>
      </c>
      <c r="K24" s="101">
        <f t="shared" si="2"/>
        <v>13</v>
      </c>
      <c r="L24" s="101">
        <f t="shared" si="2"/>
        <v>60.666666666666664</v>
      </c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</row>
    <row r="25" spans="1:39" ht="29.25" customHeight="1" x14ac:dyDescent="0.2">
      <c r="A25" s="80"/>
      <c r="B25" s="80"/>
      <c r="C25" s="80"/>
      <c r="D25" s="116"/>
      <c r="E25" s="117"/>
      <c r="F25" s="117"/>
      <c r="G25" s="117"/>
      <c r="H25" s="117"/>
      <c r="I25" s="117"/>
      <c r="J25" s="117"/>
      <c r="K25" s="117"/>
      <c r="L25" s="117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</row>
    <row r="26" spans="1:39" ht="24.95" customHeight="1" x14ac:dyDescent="0.2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205" t="s">
        <v>74</v>
      </c>
      <c r="N26" s="206"/>
      <c r="O26" s="207"/>
      <c r="P26" s="80"/>
      <c r="Q26" s="80"/>
      <c r="R26" s="80"/>
      <c r="S26" s="80"/>
      <c r="T26" s="80"/>
      <c r="U26" s="80"/>
      <c r="V26" s="80"/>
      <c r="W26" s="80"/>
      <c r="X26" s="80"/>
    </row>
    <row r="27" spans="1:39" ht="20.100000000000001" customHeight="1" x14ac:dyDescent="0.25">
      <c r="A27" s="80"/>
      <c r="B27" s="80"/>
      <c r="C27" s="118" t="s">
        <v>53</v>
      </c>
      <c r="D27" s="80"/>
      <c r="E27" s="80"/>
      <c r="F27" s="80"/>
      <c r="G27" s="80"/>
      <c r="H27" s="80"/>
      <c r="I27" s="80"/>
      <c r="J27" s="80"/>
      <c r="K27" s="80"/>
      <c r="L27" s="119" t="s">
        <v>73</v>
      </c>
      <c r="M27" s="120" t="s">
        <v>71</v>
      </c>
      <c r="N27" s="120" t="s">
        <v>75</v>
      </c>
      <c r="O27" s="121" t="s">
        <v>72</v>
      </c>
      <c r="P27" s="122" t="s">
        <v>45</v>
      </c>
      <c r="Q27" s="123" t="s">
        <v>49</v>
      </c>
      <c r="R27" s="124" t="s">
        <v>46</v>
      </c>
      <c r="S27" s="124" t="s">
        <v>47</v>
      </c>
      <c r="T27" s="124" t="s">
        <v>48</v>
      </c>
      <c r="U27" s="124" t="s">
        <v>50</v>
      </c>
      <c r="V27" s="80"/>
      <c r="W27" s="80"/>
      <c r="X27" s="166"/>
      <c r="Y27" s="144"/>
      <c r="Z27" s="144"/>
      <c r="AA27" s="144"/>
      <c r="AB27" s="144"/>
      <c r="AC27" s="144"/>
      <c r="AD27" s="144"/>
      <c r="AE27" s="144"/>
      <c r="AF27" s="145"/>
      <c r="AG27" s="146"/>
      <c r="AH27" s="147"/>
      <c r="AI27" s="148"/>
      <c r="AJ27" s="149"/>
      <c r="AK27" s="149"/>
      <c r="AL27" s="149"/>
      <c r="AM27" s="149"/>
    </row>
    <row r="28" spans="1:39" ht="20.100000000000001" customHeight="1" x14ac:dyDescent="0.2">
      <c r="A28" s="80"/>
      <c r="B28" s="80"/>
      <c r="C28" s="80"/>
      <c r="D28" s="98" t="str">
        <f t="shared" ref="D28:D34" si="3">D8</f>
        <v xml:space="preserve"> 1. Sieć Grawitacyjna</v>
      </c>
      <c r="E28" s="125">
        <f t="shared" ref="E28:K28" si="4">E17/E24</f>
        <v>0.15384615384615385</v>
      </c>
      <c r="F28" s="126">
        <f t="shared" si="4"/>
        <v>0.25</v>
      </c>
      <c r="G28" s="126">
        <f t="shared" si="4"/>
        <v>0.17142857142857143</v>
      </c>
      <c r="H28" s="126">
        <f t="shared" si="4"/>
        <v>0.16666666666666666</v>
      </c>
      <c r="I28" s="126">
        <f t="shared" si="4"/>
        <v>0.10344827586206898</v>
      </c>
      <c r="J28" s="126">
        <f t="shared" si="4"/>
        <v>9.5238095238095233E-2</v>
      </c>
      <c r="K28" s="126">
        <f t="shared" si="4"/>
        <v>0.15384615384615385</v>
      </c>
      <c r="L28" s="127">
        <f>SUM(E28:K28)</f>
        <v>1.09447391688771</v>
      </c>
      <c r="M28" s="128">
        <f>L28/L35</f>
        <v>0.15635341669824429</v>
      </c>
      <c r="N28" s="129">
        <v>5.0000000000000001E-3</v>
      </c>
      <c r="O28" s="128">
        <f>M28*N28</f>
        <v>7.8176708349122148E-4</v>
      </c>
      <c r="P28" s="130">
        <f>E24*M28</f>
        <v>1.016297208538588</v>
      </c>
      <c r="Q28" s="208">
        <f>ROWS(D28:D34)</f>
        <v>7</v>
      </c>
      <c r="R28" s="210">
        <f>(P35-Q28)/(Q28-1)</f>
        <v>0.1105868537364844</v>
      </c>
      <c r="S28" s="212">
        <f>RI_Rozne!O8</f>
        <v>1.35</v>
      </c>
      <c r="T28" s="210">
        <f>R28/S28</f>
        <v>8.19161879529514E-2</v>
      </c>
      <c r="U28" s="214">
        <f>T28</f>
        <v>8.19161879529514E-2</v>
      </c>
      <c r="V28" s="80"/>
      <c r="W28" s="131"/>
      <c r="X28" s="167"/>
      <c r="Y28" s="150"/>
      <c r="Z28" s="150"/>
      <c r="AA28" s="150"/>
      <c r="AB28" s="150"/>
      <c r="AC28" s="150"/>
      <c r="AD28" s="150"/>
      <c r="AE28" s="150"/>
      <c r="AF28" s="151"/>
      <c r="AG28" s="152"/>
      <c r="AH28" s="153"/>
      <c r="AI28" s="154"/>
      <c r="AJ28" s="202"/>
      <c r="AK28" s="203"/>
      <c r="AL28" s="202"/>
      <c r="AM28" s="204"/>
    </row>
    <row r="29" spans="1:39" ht="20.100000000000001" customHeight="1" x14ac:dyDescent="0.2">
      <c r="A29" s="80"/>
      <c r="B29" s="80"/>
      <c r="C29" s="80"/>
      <c r="D29" s="102" t="str">
        <f t="shared" si="3"/>
        <v xml:space="preserve"> 2. Sieć Małośrednicowa</v>
      </c>
      <c r="E29" s="132">
        <f t="shared" ref="E29:K29" si="5">E18/E24</f>
        <v>7.6923076923076927E-2</v>
      </c>
      <c r="F29" s="133">
        <f t="shared" si="5"/>
        <v>0.125</v>
      </c>
      <c r="G29" s="132">
        <f t="shared" si="5"/>
        <v>0.34285714285714286</v>
      </c>
      <c r="H29" s="132">
        <f t="shared" si="5"/>
        <v>0.16666666666666666</v>
      </c>
      <c r="I29" s="132">
        <f t="shared" si="5"/>
        <v>0.10344827586206898</v>
      </c>
      <c r="J29" s="132">
        <f t="shared" si="5"/>
        <v>9.5238095238095233E-2</v>
      </c>
      <c r="K29" s="132">
        <f t="shared" si="5"/>
        <v>7.6923076923076927E-2</v>
      </c>
      <c r="L29" s="127">
        <f t="shared" ref="L29:L34" si="6">SUM(E29:K29)</f>
        <v>0.98705633447012753</v>
      </c>
      <c r="M29" s="128">
        <f>L29/L35</f>
        <v>0.14100804778144679</v>
      </c>
      <c r="N29" s="129">
        <v>5.0000000000000001E-3</v>
      </c>
      <c r="O29" s="128">
        <f t="shared" ref="O29:O34" si="7">M29*N29</f>
        <v>7.0504023890723393E-4</v>
      </c>
      <c r="P29" s="127">
        <f>F24*M29</f>
        <v>1.1280643822515743</v>
      </c>
      <c r="Q29" s="209"/>
      <c r="R29" s="211"/>
      <c r="S29" s="213"/>
      <c r="T29" s="211"/>
      <c r="U29" s="215"/>
      <c r="V29" s="80"/>
      <c r="W29" s="131"/>
      <c r="X29" s="167"/>
      <c r="Y29" s="155"/>
      <c r="Z29" s="155"/>
      <c r="AA29" s="155"/>
      <c r="AB29" s="155"/>
      <c r="AC29" s="155"/>
      <c r="AD29" s="155"/>
      <c r="AE29" s="155"/>
      <c r="AF29" s="151"/>
      <c r="AG29" s="152"/>
      <c r="AH29" s="153"/>
      <c r="AI29" s="154"/>
      <c r="AJ29" s="202"/>
      <c r="AK29" s="203"/>
      <c r="AL29" s="202"/>
      <c r="AM29" s="204"/>
    </row>
    <row r="30" spans="1:39" ht="20.100000000000001" customHeight="1" x14ac:dyDescent="0.2">
      <c r="A30" s="80"/>
      <c r="B30" s="80"/>
      <c r="C30" s="80"/>
      <c r="D30" s="103" t="str">
        <f t="shared" si="3"/>
        <v xml:space="preserve"> 3. Sieć Podciśnieniowa </v>
      </c>
      <c r="E30" s="132">
        <f t="shared" ref="E30:K30" si="8">E19/E24</f>
        <v>0.15384615384615385</v>
      </c>
      <c r="F30" s="132">
        <f t="shared" si="8"/>
        <v>6.25E-2</v>
      </c>
      <c r="G30" s="133">
        <f t="shared" si="8"/>
        <v>0.17142857142857143</v>
      </c>
      <c r="H30" s="132">
        <f t="shared" si="8"/>
        <v>0.33333333333333331</v>
      </c>
      <c r="I30" s="132">
        <f t="shared" si="8"/>
        <v>0.20689655172413796</v>
      </c>
      <c r="J30" s="132">
        <f t="shared" si="8"/>
        <v>0.2857142857142857</v>
      </c>
      <c r="K30" s="132">
        <f t="shared" si="8"/>
        <v>0.30769230769230771</v>
      </c>
      <c r="L30" s="127">
        <f t="shared" si="6"/>
        <v>1.5214112037387901</v>
      </c>
      <c r="M30" s="128">
        <f>L30/L35</f>
        <v>0.21734445767697003</v>
      </c>
      <c r="N30" s="129">
        <v>5.0000000000000001E-3</v>
      </c>
      <c r="O30" s="128">
        <f t="shared" si="7"/>
        <v>1.0867222883848501E-3</v>
      </c>
      <c r="P30" s="127">
        <f>G24*M30</f>
        <v>1.2678426697823251</v>
      </c>
      <c r="Q30" s="209"/>
      <c r="R30" s="211"/>
      <c r="S30" s="213"/>
      <c r="T30" s="211"/>
      <c r="U30" s="215"/>
      <c r="V30" s="80"/>
      <c r="W30" s="131"/>
      <c r="X30" s="167"/>
      <c r="Y30" s="155"/>
      <c r="Z30" s="155"/>
      <c r="AA30" s="155"/>
      <c r="AB30" s="155"/>
      <c r="AC30" s="155"/>
      <c r="AD30" s="155"/>
      <c r="AE30" s="155"/>
      <c r="AF30" s="151"/>
      <c r="AG30" s="152"/>
      <c r="AH30" s="153"/>
      <c r="AI30" s="154"/>
      <c r="AJ30" s="202"/>
      <c r="AK30" s="203"/>
      <c r="AL30" s="202"/>
      <c r="AM30" s="204"/>
    </row>
    <row r="31" spans="1:39" ht="20.100000000000001" customHeight="1" x14ac:dyDescent="0.25">
      <c r="A31" s="80"/>
      <c r="B31" s="80"/>
      <c r="C31" s="80"/>
      <c r="D31" s="106" t="str">
        <f t="shared" si="3"/>
        <v xml:space="preserve"> 4. Sieć Niskociśnieniowa</v>
      </c>
      <c r="E31" s="132">
        <f t="shared" ref="E31:K31" si="9">E20/E24</f>
        <v>7.6923076923076927E-2</v>
      </c>
      <c r="F31" s="132">
        <f t="shared" si="9"/>
        <v>6.25E-2</v>
      </c>
      <c r="G31" s="132">
        <f t="shared" si="9"/>
        <v>4.2857142857142858E-2</v>
      </c>
      <c r="H31" s="133">
        <f t="shared" si="9"/>
        <v>8.3333333333333329E-2</v>
      </c>
      <c r="I31" s="132">
        <f t="shared" si="9"/>
        <v>0.20689655172413796</v>
      </c>
      <c r="J31" s="132">
        <f t="shared" si="9"/>
        <v>9.5238095238095233E-2</v>
      </c>
      <c r="K31" s="132">
        <f t="shared" si="9"/>
        <v>7.6923076923076927E-2</v>
      </c>
      <c r="L31" s="127">
        <f t="shared" si="6"/>
        <v>0.64467127699886317</v>
      </c>
      <c r="M31" s="128">
        <f>L31/L35</f>
        <v>9.2095896714123313E-2</v>
      </c>
      <c r="N31" s="129">
        <v>5.0000000000000001E-3</v>
      </c>
      <c r="O31" s="128">
        <f t="shared" si="7"/>
        <v>4.6047948357061657E-4</v>
      </c>
      <c r="P31" s="134">
        <f>H24*M31</f>
        <v>1.1051507605694797</v>
      </c>
      <c r="Q31" s="209"/>
      <c r="R31" s="211"/>
      <c r="S31" s="213"/>
      <c r="T31" s="211"/>
      <c r="U31" s="215"/>
      <c r="V31" s="80"/>
      <c r="W31" s="131"/>
      <c r="X31" s="167"/>
      <c r="Y31" s="155"/>
      <c r="Z31" s="155"/>
      <c r="AA31" s="155"/>
      <c r="AB31" s="155"/>
      <c r="AC31" s="155"/>
      <c r="AD31" s="155"/>
      <c r="AE31" s="155"/>
      <c r="AF31" s="151"/>
      <c r="AG31" s="156"/>
      <c r="AH31" s="153"/>
      <c r="AI31" s="157"/>
      <c r="AJ31" s="202"/>
      <c r="AK31" s="203"/>
      <c r="AL31" s="202"/>
      <c r="AM31" s="204"/>
    </row>
    <row r="32" spans="1:39" ht="20.100000000000001" customHeight="1" x14ac:dyDescent="0.2">
      <c r="A32" s="80"/>
      <c r="B32" s="80"/>
      <c r="C32" s="80"/>
      <c r="D32" s="109" t="str">
        <f t="shared" si="3"/>
        <v xml:space="preserve"> 5. Sieć Wysokociśnieniowa</v>
      </c>
      <c r="E32" s="132">
        <f t="shared" ref="E32:K32" si="10">E21/E24</f>
        <v>0.30769230769230771</v>
      </c>
      <c r="F32" s="132">
        <f t="shared" si="10"/>
        <v>0.25</v>
      </c>
      <c r="G32" s="132">
        <f t="shared" si="10"/>
        <v>0.17142857142857143</v>
      </c>
      <c r="H32" s="132">
        <f t="shared" si="10"/>
        <v>8.3333333333333329E-2</v>
      </c>
      <c r="I32" s="133">
        <f t="shared" si="10"/>
        <v>0.20689655172413796</v>
      </c>
      <c r="J32" s="132">
        <f t="shared" si="10"/>
        <v>0.2857142857142857</v>
      </c>
      <c r="K32" s="132">
        <f t="shared" si="10"/>
        <v>0.15384615384615385</v>
      </c>
      <c r="L32" s="127">
        <f t="shared" si="6"/>
        <v>1.4589112037387899</v>
      </c>
      <c r="M32" s="128">
        <f>L32/L35</f>
        <v>0.20841588624839855</v>
      </c>
      <c r="N32" s="129">
        <v>5.0000000000000001E-3</v>
      </c>
      <c r="O32" s="128">
        <f t="shared" si="7"/>
        <v>1.0420794312419926E-3</v>
      </c>
      <c r="P32" s="127">
        <f>I24*M32</f>
        <v>1.0073434502005929</v>
      </c>
      <c r="Q32" s="209"/>
      <c r="R32" s="211"/>
      <c r="S32" s="213"/>
      <c r="T32" s="211"/>
      <c r="U32" s="215"/>
      <c r="V32" s="80"/>
      <c r="W32" s="131"/>
      <c r="X32" s="167"/>
      <c r="Y32" s="155"/>
      <c r="Z32" s="155"/>
      <c r="AA32" s="155"/>
      <c r="AB32" s="155"/>
      <c r="AC32" s="155"/>
      <c r="AD32" s="155"/>
      <c r="AE32" s="155"/>
      <c r="AF32" s="151"/>
      <c r="AG32" s="156"/>
      <c r="AH32" s="153"/>
      <c r="AI32" s="158"/>
      <c r="AJ32" s="202"/>
      <c r="AK32" s="203"/>
      <c r="AL32" s="202"/>
      <c r="AM32" s="204"/>
    </row>
    <row r="33" spans="1:39" ht="20.100000000000001" customHeight="1" x14ac:dyDescent="0.2">
      <c r="A33" s="80"/>
      <c r="B33" s="80"/>
      <c r="C33" s="80"/>
      <c r="D33" s="94" t="str">
        <f t="shared" si="3"/>
        <v xml:space="preserve"> 6. Sieć Mieszana</v>
      </c>
      <c r="E33" s="135">
        <f t="shared" ref="E33:K33" si="11">E22/E24</f>
        <v>0.15384615384615385</v>
      </c>
      <c r="F33" s="135">
        <f t="shared" si="11"/>
        <v>0.125</v>
      </c>
      <c r="G33" s="135">
        <f t="shared" si="11"/>
        <v>5.7142857142857141E-2</v>
      </c>
      <c r="H33" s="135">
        <f t="shared" si="11"/>
        <v>8.3333333333333329E-2</v>
      </c>
      <c r="I33" s="135">
        <f t="shared" si="11"/>
        <v>6.8965517241379309E-2</v>
      </c>
      <c r="J33" s="136">
        <f t="shared" si="11"/>
        <v>9.5238095238095233E-2</v>
      </c>
      <c r="K33" s="135">
        <f t="shared" si="11"/>
        <v>0.15384615384615385</v>
      </c>
      <c r="L33" s="127">
        <f t="shared" si="6"/>
        <v>0.7373721106479727</v>
      </c>
      <c r="M33" s="128">
        <f>L33/L35</f>
        <v>0.10533887294971038</v>
      </c>
      <c r="N33" s="129">
        <v>5.0000000000000001E-3</v>
      </c>
      <c r="O33" s="128">
        <f t="shared" si="7"/>
        <v>5.2669436474855186E-4</v>
      </c>
      <c r="P33" s="127">
        <f>J24*M33</f>
        <v>1.1060581659719591</v>
      </c>
      <c r="Q33" s="209"/>
      <c r="R33" s="211"/>
      <c r="S33" s="213"/>
      <c r="T33" s="211"/>
      <c r="U33" s="215"/>
      <c r="V33" s="80"/>
      <c r="W33" s="131"/>
      <c r="X33" s="167"/>
      <c r="Y33" s="159"/>
      <c r="Z33" s="159"/>
      <c r="AA33" s="159"/>
      <c r="AB33" s="159"/>
      <c r="AC33" s="159"/>
      <c r="AD33" s="159"/>
      <c r="AE33" s="159"/>
      <c r="AF33" s="151"/>
      <c r="AG33" s="156"/>
      <c r="AH33" s="153"/>
      <c r="AI33" s="158"/>
      <c r="AJ33" s="202"/>
      <c r="AK33" s="203"/>
      <c r="AL33" s="202"/>
      <c r="AM33" s="204"/>
    </row>
    <row r="34" spans="1:39" ht="20.100000000000001" customHeight="1" x14ac:dyDescent="0.2">
      <c r="A34" s="80"/>
      <c r="B34" s="80"/>
      <c r="C34" s="80"/>
      <c r="D34" s="95" t="str">
        <f t="shared" si="3"/>
        <v xml:space="preserve"> 7. Oczyszczalnia Przydomowa </v>
      </c>
      <c r="E34" s="132">
        <f t="shared" ref="E34:K34" si="12">E23/E24</f>
        <v>7.6923076923076927E-2</v>
      </c>
      <c r="F34" s="132">
        <f t="shared" si="12"/>
        <v>0.125</v>
      </c>
      <c r="G34" s="132">
        <f t="shared" si="12"/>
        <v>4.2857142857142858E-2</v>
      </c>
      <c r="H34" s="132">
        <f t="shared" si="12"/>
        <v>8.3333333333333329E-2</v>
      </c>
      <c r="I34" s="132">
        <f t="shared" si="12"/>
        <v>0.10344827586206898</v>
      </c>
      <c r="J34" s="132">
        <f t="shared" si="12"/>
        <v>4.7619047619047616E-2</v>
      </c>
      <c r="K34" s="133">
        <f t="shared" si="12"/>
        <v>7.6923076923076927E-2</v>
      </c>
      <c r="L34" s="127">
        <f t="shared" si="6"/>
        <v>0.55610395351774666</v>
      </c>
      <c r="M34" s="128">
        <f>L34/L35</f>
        <v>7.9443421931106664E-2</v>
      </c>
      <c r="N34" s="129">
        <v>5.0000000000000001E-3</v>
      </c>
      <c r="O34" s="128">
        <f t="shared" si="7"/>
        <v>3.9721710965553335E-4</v>
      </c>
      <c r="P34" s="127">
        <f>K24*M34</f>
        <v>1.0327644851043867</v>
      </c>
      <c r="Q34" s="209"/>
      <c r="R34" s="211"/>
      <c r="S34" s="213"/>
      <c r="T34" s="211"/>
      <c r="U34" s="215"/>
      <c r="V34" s="80"/>
      <c r="W34" s="131"/>
      <c r="X34" s="167"/>
      <c r="Y34" s="155"/>
      <c r="Z34" s="155"/>
      <c r="AA34" s="155"/>
      <c r="AB34" s="155"/>
      <c r="AC34" s="155"/>
      <c r="AD34" s="155"/>
      <c r="AE34" s="155"/>
      <c r="AF34" s="151"/>
      <c r="AG34" s="156"/>
      <c r="AH34" s="153"/>
      <c r="AI34" s="158"/>
      <c r="AJ34" s="202"/>
      <c r="AK34" s="203"/>
      <c r="AL34" s="202"/>
      <c r="AM34" s="204"/>
    </row>
    <row r="35" spans="1:39" ht="20.100000000000001" customHeight="1" x14ac:dyDescent="0.2">
      <c r="A35" s="80"/>
      <c r="B35" s="80"/>
      <c r="C35" s="80"/>
      <c r="D35" s="115" t="s">
        <v>43</v>
      </c>
      <c r="E35" s="101">
        <f t="shared" ref="E35:M35" si="13">SUM(E28:E34)</f>
        <v>1</v>
      </c>
      <c r="F35" s="101">
        <f t="shared" si="13"/>
        <v>1</v>
      </c>
      <c r="G35" s="101">
        <f t="shared" si="13"/>
        <v>0.99999999999999989</v>
      </c>
      <c r="H35" s="101">
        <f t="shared" si="13"/>
        <v>1</v>
      </c>
      <c r="I35" s="101">
        <f t="shared" si="13"/>
        <v>1.0000000000000002</v>
      </c>
      <c r="J35" s="101">
        <f t="shared" si="13"/>
        <v>1</v>
      </c>
      <c r="K35" s="101">
        <f t="shared" si="13"/>
        <v>1</v>
      </c>
      <c r="L35" s="101">
        <f t="shared" si="13"/>
        <v>7</v>
      </c>
      <c r="M35" s="137">
        <f t="shared" si="13"/>
        <v>1</v>
      </c>
      <c r="N35" s="138">
        <f>SUM(N28:N34)</f>
        <v>3.5000000000000003E-2</v>
      </c>
      <c r="O35" s="139">
        <f>SUM(O28:O34)</f>
        <v>4.9999999999999992E-3</v>
      </c>
      <c r="P35" s="140">
        <f>SUM(P28:P34)</f>
        <v>7.6635211224189064</v>
      </c>
      <c r="Q35" s="169"/>
      <c r="R35" s="170"/>
      <c r="S35" s="171"/>
      <c r="T35" s="170"/>
      <c r="U35" s="172"/>
      <c r="V35" s="80"/>
      <c r="W35" s="80"/>
      <c r="X35" s="168"/>
      <c r="Y35" s="143"/>
      <c r="Z35" s="143"/>
      <c r="AA35" s="143"/>
      <c r="AB35" s="143"/>
      <c r="AC35" s="143"/>
      <c r="AD35" s="143"/>
      <c r="AE35" s="143"/>
      <c r="AF35" s="143"/>
      <c r="AG35" s="160"/>
      <c r="AH35" s="160"/>
      <c r="AI35" s="161"/>
      <c r="AJ35" s="202"/>
      <c r="AK35" s="203"/>
      <c r="AL35" s="202"/>
      <c r="AM35" s="204"/>
    </row>
    <row r="36" spans="1:39" x14ac:dyDescent="0.2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</row>
    <row r="37" spans="1:39" x14ac:dyDescent="0.2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</row>
    <row r="38" spans="1:39" ht="12" customHeight="1" x14ac:dyDescent="0.2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</row>
    <row r="39" spans="1:39" x14ac:dyDescent="0.2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</row>
  </sheetData>
  <mergeCells count="11">
    <mergeCell ref="D2:D5"/>
    <mergeCell ref="AJ28:AJ35"/>
    <mergeCell ref="AK28:AK35"/>
    <mergeCell ref="AL28:AL35"/>
    <mergeCell ref="AM28:AM35"/>
    <mergeCell ref="M26:O26"/>
    <mergeCell ref="Q28:Q34"/>
    <mergeCell ref="R28:R34"/>
    <mergeCell ref="S28:S34"/>
    <mergeCell ref="T28:T34"/>
    <mergeCell ref="U28:U34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_Eymontt">
                <anchor moveWithCells="1">
                  <from>
                    <xdr:col>4</xdr:col>
                    <xdr:colOff>76200</xdr:colOff>
                    <xdr:row>1</xdr:row>
                    <xdr:rowOff>38100</xdr:rowOff>
                  </from>
                  <to>
                    <xdr:col>10</xdr:col>
                    <xdr:colOff>352425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_Slusarczyk">
                <anchor moveWithCells="1">
                  <from>
                    <xdr:col>4</xdr:col>
                    <xdr:colOff>66675</xdr:colOff>
                    <xdr:row>3</xdr:row>
                    <xdr:rowOff>85725</xdr:rowOff>
                  </from>
                  <to>
                    <xdr:col>10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535A-C157-442F-AD22-0B37FDC5ACEE}">
  <sheetPr codeName="Arkusz3"/>
  <dimension ref="A3:U15"/>
  <sheetViews>
    <sheetView tabSelected="1" workbookViewId="0">
      <selection activeCell="T8" sqref="T8"/>
    </sheetView>
  </sheetViews>
  <sheetFormatPr defaultRowHeight="12.75" x14ac:dyDescent="0.2"/>
  <cols>
    <col min="5" max="5" width="11.140625" customWidth="1"/>
    <col min="6" max="6" width="14.85546875" customWidth="1"/>
    <col min="7" max="7" width="9.140625" style="1"/>
    <col min="8" max="8" width="14.85546875" customWidth="1"/>
    <col min="9" max="9" width="11" customWidth="1"/>
  </cols>
  <sheetData>
    <row r="3" spans="1:21" x14ac:dyDescent="0.2">
      <c r="K3" s="2"/>
      <c r="L3" s="2"/>
      <c r="M3" s="2"/>
      <c r="N3" s="2"/>
      <c r="O3" s="2"/>
      <c r="P3" s="2"/>
      <c r="Q3" s="2"/>
      <c r="R3" s="2"/>
    </row>
    <row r="4" spans="1:21" x14ac:dyDescent="0.2">
      <c r="K4" s="2"/>
      <c r="L4" s="2"/>
      <c r="M4" s="2"/>
      <c r="N4" s="2"/>
      <c r="O4" s="2"/>
      <c r="P4" s="2"/>
      <c r="Q4" s="2"/>
      <c r="R4" s="2"/>
    </row>
    <row r="5" spans="1:21" x14ac:dyDescent="0.2">
      <c r="K5" s="2"/>
      <c r="L5" s="2"/>
      <c r="M5" s="2"/>
      <c r="N5" s="2"/>
      <c r="O5" s="2"/>
      <c r="P5" s="2"/>
      <c r="Q5" s="2"/>
      <c r="R5" s="2"/>
    </row>
    <row r="6" spans="1:21" ht="47.25" customHeight="1" x14ac:dyDescent="0.2">
      <c r="A6" s="73" t="s">
        <v>0</v>
      </c>
      <c r="B6" s="222" t="s">
        <v>65</v>
      </c>
      <c r="C6" s="222"/>
      <c r="D6" s="222"/>
      <c r="E6" s="222"/>
      <c r="F6" s="222"/>
      <c r="G6" s="73" t="s">
        <v>66</v>
      </c>
      <c r="H6" s="74" t="s">
        <v>68</v>
      </c>
      <c r="I6" s="74" t="s">
        <v>67</v>
      </c>
      <c r="J6" s="223" t="s">
        <v>78</v>
      </c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"/>
    </row>
    <row r="7" spans="1:21" ht="15.75" customHeight="1" x14ac:dyDescent="0.2">
      <c r="A7" s="219">
        <v>1</v>
      </c>
      <c r="B7" s="225" t="s">
        <v>69</v>
      </c>
      <c r="C7" s="226"/>
      <c r="D7" s="226"/>
      <c r="E7" s="227"/>
      <c r="F7" s="231" t="s">
        <v>70</v>
      </c>
      <c r="G7" s="224">
        <v>1990</v>
      </c>
      <c r="H7" s="220" t="s">
        <v>47</v>
      </c>
      <c r="I7" s="72" t="s">
        <v>49</v>
      </c>
      <c r="J7" s="72">
        <v>2</v>
      </c>
      <c r="K7" s="72">
        <v>3</v>
      </c>
      <c r="L7" s="72">
        <v>4</v>
      </c>
      <c r="M7" s="72">
        <v>5</v>
      </c>
      <c r="N7" s="72">
        <v>6</v>
      </c>
      <c r="O7" s="72">
        <v>7</v>
      </c>
      <c r="P7" s="72">
        <v>8</v>
      </c>
      <c r="Q7" s="72">
        <v>9</v>
      </c>
      <c r="R7" s="72">
        <v>10</v>
      </c>
      <c r="S7" s="72">
        <v>11</v>
      </c>
      <c r="T7" s="72">
        <v>12</v>
      </c>
    </row>
    <row r="8" spans="1:21" ht="21.75" customHeight="1" x14ac:dyDescent="0.2">
      <c r="A8" s="219"/>
      <c r="B8" s="228"/>
      <c r="C8" s="229"/>
      <c r="D8" s="229"/>
      <c r="E8" s="230"/>
      <c r="F8" s="232"/>
      <c r="G8" s="224"/>
      <c r="H8" s="221"/>
      <c r="I8" s="62" t="s">
        <v>47</v>
      </c>
      <c r="J8" s="75">
        <v>0</v>
      </c>
      <c r="K8" s="75">
        <v>0.52</v>
      </c>
      <c r="L8" s="75">
        <v>0.89</v>
      </c>
      <c r="M8" s="75">
        <v>1.1100000000000001</v>
      </c>
      <c r="N8" s="75">
        <v>1.25</v>
      </c>
      <c r="O8" s="75">
        <v>1.35</v>
      </c>
      <c r="P8" s="75">
        <v>1.4</v>
      </c>
      <c r="Q8" s="75">
        <v>1.45</v>
      </c>
      <c r="R8" s="75">
        <v>1.49</v>
      </c>
      <c r="S8" s="75">
        <v>1.52</v>
      </c>
      <c r="T8" s="75">
        <v>1.54</v>
      </c>
    </row>
    <row r="9" spans="1:21" s="1" customFormat="1" ht="12.75" customHeight="1" x14ac:dyDescent="0.2">
      <c r="A9" s="216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8"/>
    </row>
    <row r="10" spans="1:21" s="1" customFormat="1" ht="15.75" customHeight="1" x14ac:dyDescent="0.2">
      <c r="A10" s="219">
        <v>1</v>
      </c>
      <c r="B10" s="225" t="s">
        <v>69</v>
      </c>
      <c r="C10" s="226"/>
      <c r="D10" s="226"/>
      <c r="E10" s="226"/>
      <c r="F10" s="227" t="s">
        <v>70</v>
      </c>
      <c r="G10" s="224">
        <v>1990</v>
      </c>
      <c r="H10" s="235" t="s">
        <v>47</v>
      </c>
      <c r="I10" s="77" t="s">
        <v>49</v>
      </c>
      <c r="J10" s="77">
        <v>2</v>
      </c>
      <c r="K10" s="77">
        <v>3</v>
      </c>
      <c r="L10" s="77">
        <v>4</v>
      </c>
      <c r="M10" s="77">
        <v>5</v>
      </c>
      <c r="N10" s="77">
        <v>6</v>
      </c>
      <c r="O10" s="77">
        <v>7</v>
      </c>
      <c r="P10" s="77">
        <v>8</v>
      </c>
      <c r="Q10" s="77">
        <v>9</v>
      </c>
      <c r="R10" s="77">
        <v>10</v>
      </c>
      <c r="S10" s="77">
        <v>11</v>
      </c>
      <c r="T10" s="77">
        <v>12</v>
      </c>
    </row>
    <row r="11" spans="1:21" s="1" customFormat="1" ht="12.75" customHeight="1" x14ac:dyDescent="0.2">
      <c r="A11" s="219"/>
      <c r="B11" s="228"/>
      <c r="C11" s="229"/>
      <c r="D11" s="229"/>
      <c r="E11" s="229"/>
      <c r="F11" s="230"/>
      <c r="G11" s="224"/>
      <c r="H11" s="235"/>
      <c r="I11" s="62" t="s">
        <v>47</v>
      </c>
      <c r="J11" s="75">
        <v>0</v>
      </c>
      <c r="K11" s="75">
        <v>0.52</v>
      </c>
      <c r="L11" s="75">
        <v>0.89</v>
      </c>
      <c r="M11" s="75">
        <v>1.1100000000000001</v>
      </c>
      <c r="N11" s="75">
        <v>1.25</v>
      </c>
      <c r="O11" s="75">
        <v>1.35</v>
      </c>
      <c r="P11" s="75">
        <v>1.4</v>
      </c>
      <c r="Q11" s="75">
        <v>1.45</v>
      </c>
      <c r="R11" s="75">
        <v>1.49</v>
      </c>
      <c r="S11" s="75">
        <v>1.52</v>
      </c>
      <c r="T11" s="75">
        <v>1.54</v>
      </c>
    </row>
    <row r="12" spans="1:21" x14ac:dyDescent="0.2">
      <c r="A12" s="233"/>
      <c r="B12" s="233"/>
      <c r="C12" s="233"/>
      <c r="D12" s="233"/>
      <c r="E12" s="233"/>
      <c r="F12" s="233"/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3"/>
      <c r="R12" s="233"/>
      <c r="S12" s="233"/>
      <c r="T12" s="233"/>
    </row>
    <row r="13" spans="1:21" ht="12.75" customHeight="1" x14ac:dyDescent="0.2">
      <c r="A13" s="219">
        <v>2</v>
      </c>
      <c r="B13" s="225" t="s">
        <v>76</v>
      </c>
      <c r="C13" s="226"/>
      <c r="D13" s="226"/>
      <c r="E13" s="227"/>
      <c r="F13" s="231" t="s">
        <v>77</v>
      </c>
      <c r="G13" s="224">
        <v>1997</v>
      </c>
      <c r="H13" s="235" t="s">
        <v>47</v>
      </c>
      <c r="I13" s="78" t="s">
        <v>49</v>
      </c>
      <c r="J13" s="78">
        <v>2</v>
      </c>
      <c r="K13" s="78">
        <v>3</v>
      </c>
      <c r="L13" s="78">
        <v>4</v>
      </c>
      <c r="M13" s="78">
        <v>5</v>
      </c>
      <c r="N13" s="78">
        <v>6</v>
      </c>
      <c r="O13" s="78">
        <v>7</v>
      </c>
      <c r="P13" s="78">
        <v>8</v>
      </c>
      <c r="Q13" s="78">
        <v>9</v>
      </c>
      <c r="R13" s="78">
        <v>10</v>
      </c>
      <c r="S13" s="78">
        <v>11</v>
      </c>
      <c r="T13" s="78">
        <v>12</v>
      </c>
    </row>
    <row r="14" spans="1:21" ht="12.75" customHeight="1" x14ac:dyDescent="0.2">
      <c r="A14" s="219"/>
      <c r="B14" s="228"/>
      <c r="C14" s="229"/>
      <c r="D14" s="229"/>
      <c r="E14" s="230"/>
      <c r="F14" s="232"/>
      <c r="G14" s="224"/>
      <c r="H14" s="235"/>
      <c r="I14" s="62" t="s">
        <v>47</v>
      </c>
      <c r="J14" s="76">
        <v>0</v>
      </c>
      <c r="K14" s="76">
        <v>0.52</v>
      </c>
      <c r="L14" s="76">
        <v>0.89</v>
      </c>
      <c r="M14" s="76">
        <v>1.1100000000000001</v>
      </c>
      <c r="N14" s="76">
        <v>1.25</v>
      </c>
      <c r="O14" s="76">
        <v>1.35</v>
      </c>
      <c r="P14" s="76">
        <v>1.4</v>
      </c>
      <c r="Q14" s="76">
        <v>1.45</v>
      </c>
      <c r="R14" s="76">
        <v>1.49</v>
      </c>
      <c r="S14" s="76">
        <v>1.52</v>
      </c>
      <c r="T14" s="76">
        <v>1.54</v>
      </c>
    </row>
    <row r="15" spans="1:21" x14ac:dyDescent="0.2">
      <c r="A15" s="234"/>
      <c r="B15" s="234"/>
      <c r="C15" s="234"/>
      <c r="D15" s="234"/>
      <c r="E15" s="234"/>
      <c r="F15" s="234"/>
      <c r="G15" s="234"/>
      <c r="H15" s="234"/>
      <c r="I15" s="234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</row>
  </sheetData>
  <mergeCells count="20">
    <mergeCell ref="B13:E14"/>
    <mergeCell ref="F10:F11"/>
    <mergeCell ref="F13:F14"/>
    <mergeCell ref="A12:T12"/>
    <mergeCell ref="A15:T15"/>
    <mergeCell ref="A13:A14"/>
    <mergeCell ref="G13:G14"/>
    <mergeCell ref="H13:H14"/>
    <mergeCell ref="A10:A11"/>
    <mergeCell ref="G10:G11"/>
    <mergeCell ref="H10:H11"/>
    <mergeCell ref="B10:E11"/>
    <mergeCell ref="A9:T9"/>
    <mergeCell ref="A7:A8"/>
    <mergeCell ref="H7:H8"/>
    <mergeCell ref="B6:F6"/>
    <mergeCell ref="J6:T6"/>
    <mergeCell ref="G7:G8"/>
    <mergeCell ref="B7:E8"/>
    <mergeCell ref="F7:F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F599-A717-4A0A-A301-A56EFB36AB3A}">
  <sheetPr codeName="Arkusz1"/>
  <dimension ref="A1"/>
  <sheetViews>
    <sheetView topLeftCell="A5" workbookViewId="0">
      <selection activeCell="Z25" sqref="Z25"/>
    </sheetView>
  </sheetViews>
  <sheetFormatPr defaultRowHeight="12.75" x14ac:dyDescent="0.2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938B26E7-335A-42AA-A18C-075CD321FF98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79C590C1-9E9D-4008-8CD9-4A8D8C661F7E}">
  <ds:schemaRefs>
    <ds:schemaRef ds:uri="http://www.w3.org/2001/XMLSchema"/>
    <ds:schemaRef ds:uri="http://microsoft.data.visualization.Client.Excel.CustomMapList/1.0"/>
  </ds:schemaRefs>
</ds:datastoreItem>
</file>

<file path=customXml/itemProps3.xml><?xml version="1.0" encoding="utf-8"?>
<ds:datastoreItem xmlns:ds="http://schemas.openxmlformats.org/officeDocument/2006/customXml" ds:itemID="{41FCCA83-E59F-438E-8A22-7731AC21D14E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Ankieta_SK</vt:lpstr>
      <vt:lpstr>Wartosci_kryteriow</vt:lpstr>
      <vt:lpstr>Macierz_G_SK</vt:lpstr>
      <vt:lpstr>RI_Rozne</vt:lpstr>
      <vt:lpstr>Wykresy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Sławomir Ślusarczyk</dc:creator>
  <cp:lastModifiedBy>Sławomir Ślusarczyk</cp:lastModifiedBy>
  <dcterms:created xsi:type="dcterms:W3CDTF">2019-12-25T16:43:38Z</dcterms:created>
  <dcterms:modified xsi:type="dcterms:W3CDTF">2020-03-01T22:29:49Z</dcterms:modified>
</cp:coreProperties>
</file>